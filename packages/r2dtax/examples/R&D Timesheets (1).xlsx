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uzywatson/Library/CloudStorage/GoogleDrive-suzy@practera.com/Shared drives/08 Exec/02 Finances/FY 2024/"/>
    </mc:Choice>
  </mc:AlternateContent>
  <xr:revisionPtr revIDLastSave="0" documentId="13_ncr:1_{56C5EF32-FCDE-8F45-BD0E-9452DFE2977B}" xr6:coauthVersionLast="47" xr6:coauthVersionMax="47" xr10:uidLastSave="{00000000-0000-0000-0000-000000000000}"/>
  <bookViews>
    <workbookView xWindow="0" yWindow="760" windowWidth="28280" windowHeight="18360" firstSheet="1" activeTab="2" xr2:uid="{00000000-000D-0000-FFFF-FFFF00000000}"/>
  </bookViews>
  <sheets>
    <sheet name="FY23 Timesheet - Privacy CRC-P " sheetId="2" r:id="rId1"/>
    <sheet name="FY24 Timesheet - LA" sheetId="13" r:id="rId2"/>
    <sheet name="FY24 Timesheet - GenAI" sheetId="12" r:id="rId3"/>
    <sheet name="FY23 Timesheet - LA" sheetId="3" r:id="rId4"/>
    <sheet name="FY23 Timesheet - GenAI" sheetId="4" r:id="rId5"/>
    <sheet name="FY22 Timesheets--&gt;" sheetId="5" r:id="rId6"/>
    <sheet name="FY22 Timesheet - Privacy CRC-P " sheetId="6" r:id="rId7"/>
    <sheet name="FY22 Timesheet - LA" sheetId="7" r:id="rId8"/>
    <sheet name="Employees &amp; Tenure" sheetId="8" r:id="rId9"/>
    <sheet name="Sheet1" sheetId="11" r:id="rId10"/>
    <sheet name="FY18 Timesheet" sheetId="9" state="hidden" r:id="rId11"/>
    <sheet name="FY17 Timesheet (Completed)" sheetId="10" state="hidden" r:id="rId12"/>
  </sheets>
  <definedNames>
    <definedName name="_REV1" localSheetId="11">#REF!</definedName>
    <definedName name="_REV1" localSheetId="6">#REF!</definedName>
    <definedName name="_REV1" localSheetId="0">#REF!</definedName>
    <definedName name="_REV1">#REF!</definedName>
    <definedName name="asd" localSheetId="11">#REF!</definedName>
    <definedName name="asd" localSheetId="6">#REF!</definedName>
    <definedName name="asd" localSheetId="0">#REF!</definedName>
    <definedName name="asd">#REF!</definedName>
    <definedName name="Client_name" localSheetId="11">#REF!</definedName>
    <definedName name="Client_name" localSheetId="6">#REF!</definedName>
    <definedName name="Client_name" localSheetId="0">#REF!</definedName>
    <definedName name="Client_name">#REF!</definedName>
    <definedName name="Client_ref_number" localSheetId="11">#REF!</definedName>
    <definedName name="Client_ref_number" localSheetId="6">#REF!</definedName>
    <definedName name="Client_ref_number" localSheetId="0">#REF!</definedName>
    <definedName name="Client_ref_number">#REF!</definedName>
    <definedName name="CoalFlow" localSheetId="11">#REF!</definedName>
    <definedName name="CoalFlow" localSheetId="6">#REF!</definedName>
    <definedName name="CoalFlow" localSheetId="0">#REF!</definedName>
    <definedName name="CoalFlow">#REF!</definedName>
    <definedName name="Designer" localSheetId="11">#REF!</definedName>
    <definedName name="Designer" localSheetId="6">#REF!</definedName>
    <definedName name="Designer" localSheetId="0">#REF!</definedName>
    <definedName name="Designer">#REF!</definedName>
    <definedName name="Job_number">#REF!</definedName>
    <definedName name="Print_Area_MI" localSheetId="11">#REF!</definedName>
    <definedName name="Print_Area_MI" localSheetId="6">#REF!</definedName>
    <definedName name="Print_Area_MI" localSheetId="0">#REF!</definedName>
    <definedName name="Print_Area_MI">#REF!</definedName>
    <definedName name="Print_Titles_MI" localSheetId="11">#REF!</definedName>
    <definedName name="Print_Titles_MI" localSheetId="6">#REF!</definedName>
    <definedName name="Print_Titles_MI" localSheetId="0">#REF!</definedName>
    <definedName name="Print_Titles_MI">#REF!</definedName>
    <definedName name="Project_name_1" localSheetId="11">#REF!</definedName>
    <definedName name="Project_name_1" localSheetId="6">#REF!</definedName>
    <definedName name="Project_name_1" localSheetId="0">#REF!</definedName>
    <definedName name="Project_name_1">#REF!</definedName>
    <definedName name="Project_name_2" localSheetId="11">#REF!</definedName>
    <definedName name="Project_name_2" localSheetId="6">#REF!</definedName>
    <definedName name="Project_name_2" localSheetId="0">#REF!</definedName>
    <definedName name="Project_name_2">#REF!</definedName>
    <definedName name="projttl" localSheetId="11">#REF!</definedName>
    <definedName name="projttl" localSheetId="6">#REF!</definedName>
    <definedName name="projttl" localSheetId="0">#REF!</definedName>
    <definedName name="projttl">#REF!</definedName>
    <definedName name="Spreadsheet_name">#REF!</definedName>
    <definedName name="upstDataMap">#REF!</definedName>
    <definedName name="Verifier" localSheetId="11">#REF!</definedName>
    <definedName name="Verifier" localSheetId="6">#REF!</definedName>
    <definedName name="Verifier" localSheetId="0">#REF!</definedName>
    <definedName name="Verifi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1" i="13" l="1"/>
  <c r="P151" i="13"/>
  <c r="O151" i="13"/>
  <c r="N151" i="13"/>
  <c r="M151" i="13"/>
  <c r="L151" i="13"/>
  <c r="K151" i="13"/>
  <c r="J151" i="13"/>
  <c r="I151" i="13"/>
  <c r="H151" i="13"/>
  <c r="G151" i="13"/>
  <c r="F151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Q124" i="13"/>
  <c r="P124" i="13"/>
  <c r="O124" i="13"/>
  <c r="N124" i="13"/>
  <c r="M124" i="13"/>
  <c r="L124" i="13"/>
  <c r="K124" i="13"/>
  <c r="J124" i="13"/>
  <c r="I124" i="13"/>
  <c r="H124" i="13"/>
  <c r="G124" i="13"/>
  <c r="F124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Q79" i="13"/>
  <c r="P79" i="13"/>
  <c r="O79" i="13"/>
  <c r="N79" i="13"/>
  <c r="M79" i="13"/>
  <c r="L79" i="13"/>
  <c r="K79" i="13"/>
  <c r="J79" i="13"/>
  <c r="I79" i="13"/>
  <c r="H79" i="13"/>
  <c r="G79" i="13"/>
  <c r="F79" i="13"/>
  <c r="Q70" i="13"/>
  <c r="P70" i="13"/>
  <c r="O70" i="13"/>
  <c r="N70" i="13"/>
  <c r="M70" i="13"/>
  <c r="L70" i="13"/>
  <c r="K70" i="13"/>
  <c r="J70" i="13"/>
  <c r="I70" i="13"/>
  <c r="H70" i="13"/>
  <c r="G70" i="13"/>
  <c r="F70" i="13"/>
  <c r="Q61" i="13"/>
  <c r="P61" i="13"/>
  <c r="O61" i="13"/>
  <c r="N61" i="13"/>
  <c r="M61" i="13"/>
  <c r="L61" i="13"/>
  <c r="K61" i="13"/>
  <c r="J61" i="13"/>
  <c r="I61" i="13"/>
  <c r="H61" i="13"/>
  <c r="G61" i="13"/>
  <c r="F61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H43" i="13"/>
  <c r="G43" i="13"/>
  <c r="F43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F16" i="13"/>
  <c r="Q16" i="13"/>
  <c r="P16" i="13"/>
  <c r="O16" i="13"/>
  <c r="N16" i="13"/>
  <c r="M16" i="13"/>
  <c r="L16" i="13"/>
  <c r="K16" i="13"/>
  <c r="J16" i="13"/>
  <c r="I16" i="13"/>
  <c r="H16" i="13"/>
  <c r="G16" i="13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Q34" i="13"/>
  <c r="P34" i="13"/>
  <c r="O34" i="13"/>
  <c r="N34" i="13"/>
  <c r="M34" i="13"/>
  <c r="L34" i="13"/>
  <c r="K34" i="13"/>
  <c r="J34" i="13"/>
  <c r="I34" i="13"/>
  <c r="H34" i="13"/>
  <c r="G34" i="13"/>
  <c r="F34" i="13"/>
  <c r="Q97" i="12"/>
  <c r="P97" i="12"/>
  <c r="O97" i="12"/>
  <c r="N97" i="12"/>
  <c r="M97" i="12"/>
  <c r="L97" i="12"/>
  <c r="K97" i="12"/>
  <c r="J97" i="12"/>
  <c r="I97" i="12"/>
  <c r="H97" i="12"/>
  <c r="G97" i="12"/>
  <c r="F97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B25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B16" i="12"/>
  <c r="G209" i="10"/>
  <c r="F209" i="10"/>
  <c r="E209" i="10"/>
  <c r="D209" i="10"/>
  <c r="P209" i="10" s="1"/>
  <c r="P208" i="10"/>
  <c r="P207" i="10"/>
  <c r="P206" i="10"/>
  <c r="P205" i="10"/>
  <c r="P204" i="10"/>
  <c r="P203" i="10"/>
  <c r="P202" i="10"/>
  <c r="J201" i="10"/>
  <c r="I201" i="10"/>
  <c r="H201" i="10"/>
  <c r="P201" i="10" s="1"/>
  <c r="G201" i="10"/>
  <c r="B201" i="10"/>
  <c r="P200" i="10"/>
  <c r="P199" i="10"/>
  <c r="P198" i="10"/>
  <c r="P197" i="10"/>
  <c r="P196" i="10"/>
  <c r="P195" i="10"/>
  <c r="P194" i="10"/>
  <c r="P193" i="10"/>
  <c r="O193" i="10"/>
  <c r="N193" i="10"/>
  <c r="M193" i="10"/>
  <c r="L193" i="10"/>
  <c r="B193" i="10"/>
  <c r="P192" i="10"/>
  <c r="P191" i="10"/>
  <c r="P190" i="10"/>
  <c r="P189" i="10"/>
  <c r="P188" i="10"/>
  <c r="P187" i="10"/>
  <c r="P186" i="10"/>
  <c r="K185" i="10"/>
  <c r="J185" i="10"/>
  <c r="I185" i="10"/>
  <c r="H185" i="10"/>
  <c r="G185" i="10"/>
  <c r="F185" i="10"/>
  <c r="E185" i="10"/>
  <c r="D185" i="10"/>
  <c r="P185" i="10" s="1"/>
  <c r="B185" i="10"/>
  <c r="P184" i="10"/>
  <c r="P183" i="10"/>
  <c r="P182" i="10"/>
  <c r="P181" i="10"/>
  <c r="P180" i="10"/>
  <c r="P179" i="10"/>
  <c r="P178" i="10"/>
  <c r="O177" i="10"/>
  <c r="N177" i="10"/>
  <c r="M177" i="10"/>
  <c r="L177" i="10"/>
  <c r="K177" i="10"/>
  <c r="J177" i="10"/>
  <c r="I177" i="10"/>
  <c r="H177" i="10"/>
  <c r="G177" i="10"/>
  <c r="F177" i="10"/>
  <c r="P177" i="10" s="1"/>
  <c r="E177" i="10"/>
  <c r="D177" i="10"/>
  <c r="P176" i="10"/>
  <c r="P175" i="10"/>
  <c r="P174" i="10"/>
  <c r="P173" i="10"/>
  <c r="P172" i="10"/>
  <c r="P171" i="10"/>
  <c r="P170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P169" i="10" s="1"/>
  <c r="B169" i="10"/>
  <c r="P168" i="10"/>
  <c r="P167" i="10"/>
  <c r="P166" i="10"/>
  <c r="P165" i="10"/>
  <c r="P164" i="10"/>
  <c r="P163" i="10"/>
  <c r="P162" i="10"/>
  <c r="I161" i="10"/>
  <c r="H161" i="10"/>
  <c r="G161" i="10"/>
  <c r="F161" i="10"/>
  <c r="E161" i="10"/>
  <c r="D161" i="10"/>
  <c r="P161" i="10" s="1"/>
  <c r="B161" i="10"/>
  <c r="P160" i="10"/>
  <c r="P159" i="10"/>
  <c r="P158" i="10"/>
  <c r="P157" i="10"/>
  <c r="P156" i="10"/>
  <c r="P155" i="10"/>
  <c r="P154" i="10"/>
  <c r="P153" i="10"/>
  <c r="O153" i="10"/>
  <c r="B153" i="10"/>
  <c r="P152" i="10"/>
  <c r="P151" i="10"/>
  <c r="P150" i="10"/>
  <c r="P149" i="10"/>
  <c r="P148" i="10"/>
  <c r="P147" i="10"/>
  <c r="P146" i="10"/>
  <c r="P145" i="10"/>
  <c r="O145" i="10"/>
  <c r="N145" i="10"/>
  <c r="B145" i="10"/>
  <c r="P144" i="10"/>
  <c r="P143" i="10"/>
  <c r="P142" i="10"/>
  <c r="P141" i="10"/>
  <c r="P140" i="10"/>
  <c r="P139" i="10"/>
  <c r="P138" i="10"/>
  <c r="O137" i="10"/>
  <c r="N137" i="10"/>
  <c r="M137" i="10"/>
  <c r="L137" i="10"/>
  <c r="K137" i="10"/>
  <c r="J137" i="10"/>
  <c r="I137" i="10"/>
  <c r="H137" i="10"/>
  <c r="G137" i="10"/>
  <c r="F137" i="10"/>
  <c r="E137" i="10"/>
  <c r="P137" i="10" s="1"/>
  <c r="D137" i="10"/>
  <c r="P136" i="10"/>
  <c r="P135" i="10"/>
  <c r="P134" i="10"/>
  <c r="P133" i="10"/>
  <c r="P132" i="10"/>
  <c r="P131" i="10"/>
  <c r="P130" i="10"/>
  <c r="O129" i="10"/>
  <c r="N129" i="10"/>
  <c r="M129" i="10"/>
  <c r="L129" i="10"/>
  <c r="K129" i="10"/>
  <c r="J129" i="10"/>
  <c r="I129" i="10"/>
  <c r="H129" i="10"/>
  <c r="G129" i="10"/>
  <c r="P129" i="10" s="1"/>
  <c r="B129" i="10"/>
  <c r="P128" i="10"/>
  <c r="P127" i="10"/>
  <c r="P126" i="10"/>
  <c r="P125" i="10"/>
  <c r="P124" i="10"/>
  <c r="P123" i="10"/>
  <c r="P122" i="10"/>
  <c r="O121" i="10"/>
  <c r="N121" i="10"/>
  <c r="M121" i="10"/>
  <c r="L121" i="10"/>
  <c r="K121" i="10"/>
  <c r="J121" i="10"/>
  <c r="I121" i="10"/>
  <c r="H121" i="10"/>
  <c r="P121" i="10" s="1"/>
  <c r="G121" i="10"/>
  <c r="F121" i="10"/>
  <c r="E121" i="10"/>
  <c r="D121" i="10"/>
  <c r="P120" i="10"/>
  <c r="P119" i="10"/>
  <c r="P118" i="10"/>
  <c r="P117" i="10"/>
  <c r="P116" i="10"/>
  <c r="P115" i="10"/>
  <c r="P114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P113" i="10" s="1"/>
  <c r="B113" i="10"/>
  <c r="P112" i="10"/>
  <c r="P111" i="10"/>
  <c r="P110" i="10"/>
  <c r="P109" i="10"/>
  <c r="P108" i="10"/>
  <c r="P107" i="10"/>
  <c r="P106" i="10"/>
  <c r="P105" i="10"/>
  <c r="G105" i="10"/>
  <c r="F105" i="10"/>
  <c r="E105" i="10"/>
  <c r="D105" i="10"/>
  <c r="B105" i="10"/>
  <c r="P104" i="10"/>
  <c r="P103" i="10"/>
  <c r="P102" i="10"/>
  <c r="P101" i="10"/>
  <c r="P100" i="10"/>
  <c r="P99" i="10"/>
  <c r="P98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P97" i="10" s="1"/>
  <c r="B97" i="10"/>
  <c r="P96" i="10"/>
  <c r="P95" i="10"/>
  <c r="P94" i="10"/>
  <c r="P93" i="10"/>
  <c r="P92" i="10"/>
  <c r="P91" i="10"/>
  <c r="P90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P89" i="10" s="1"/>
  <c r="B89" i="10"/>
  <c r="P88" i="10"/>
  <c r="P87" i="10"/>
  <c r="P86" i="10"/>
  <c r="P85" i="10"/>
  <c r="P84" i="10"/>
  <c r="P83" i="10"/>
  <c r="P82" i="10"/>
  <c r="O81" i="10"/>
  <c r="N81" i="10"/>
  <c r="M81" i="10"/>
  <c r="L81" i="10"/>
  <c r="K81" i="10"/>
  <c r="J81" i="10"/>
  <c r="I81" i="10"/>
  <c r="H81" i="10"/>
  <c r="P81" i="10" s="1"/>
  <c r="G81" i="10"/>
  <c r="F81" i="10"/>
  <c r="E81" i="10"/>
  <c r="D81" i="10"/>
  <c r="B81" i="10"/>
  <c r="P80" i="10"/>
  <c r="P79" i="10"/>
  <c r="P78" i="10"/>
  <c r="P77" i="10"/>
  <c r="P76" i="10"/>
  <c r="P75" i="10"/>
  <c r="P74" i="10"/>
  <c r="O73" i="10"/>
  <c r="N73" i="10"/>
  <c r="M73" i="10"/>
  <c r="L73" i="10"/>
  <c r="K73" i="10"/>
  <c r="J73" i="10"/>
  <c r="I73" i="10"/>
  <c r="H73" i="10"/>
  <c r="G73" i="10"/>
  <c r="F73" i="10"/>
  <c r="E73" i="10"/>
  <c r="P73" i="10" s="1"/>
  <c r="B73" i="10"/>
  <c r="P72" i="10"/>
  <c r="P71" i="10"/>
  <c r="P70" i="10"/>
  <c r="P69" i="10"/>
  <c r="P68" i="10"/>
  <c r="P67" i="10"/>
  <c r="P66" i="10"/>
  <c r="O65" i="10"/>
  <c r="N65" i="10"/>
  <c r="M65" i="10"/>
  <c r="L65" i="10"/>
  <c r="K65" i="10"/>
  <c r="J65" i="10"/>
  <c r="I65" i="10"/>
  <c r="H65" i="10"/>
  <c r="P65" i="10" s="1"/>
  <c r="G65" i="10"/>
  <c r="F65" i="10"/>
  <c r="E65" i="10"/>
  <c r="D65" i="10"/>
  <c r="P64" i="10"/>
  <c r="P63" i="10"/>
  <c r="P62" i="10"/>
  <c r="P61" i="10"/>
  <c r="P60" i="10"/>
  <c r="P59" i="10"/>
  <c r="P58" i="10"/>
  <c r="O57" i="10"/>
  <c r="N57" i="10"/>
  <c r="M57" i="10"/>
  <c r="L57" i="10"/>
  <c r="P57" i="10" s="1"/>
  <c r="K57" i="10"/>
  <c r="P56" i="10"/>
  <c r="P55" i="10"/>
  <c r="P54" i="10"/>
  <c r="P53" i="10"/>
  <c r="P52" i="10"/>
  <c r="P51" i="10"/>
  <c r="P50" i="10"/>
  <c r="O49" i="10"/>
  <c r="N49" i="10"/>
  <c r="M49" i="10"/>
  <c r="L49" i="10"/>
  <c r="K49" i="10"/>
  <c r="J49" i="10"/>
  <c r="I49" i="10"/>
  <c r="P49" i="10" s="1"/>
  <c r="B49" i="10"/>
  <c r="P48" i="10"/>
  <c r="P47" i="10"/>
  <c r="P46" i="10"/>
  <c r="P45" i="10"/>
  <c r="P44" i="10"/>
  <c r="P43" i="10"/>
  <c r="P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P41" i="10" s="1"/>
  <c r="B41" i="10"/>
  <c r="P40" i="10"/>
  <c r="P39" i="10"/>
  <c r="P38" i="10"/>
  <c r="P37" i="10"/>
  <c r="P36" i="10"/>
  <c r="P35" i="10"/>
  <c r="P34" i="10"/>
  <c r="O33" i="10"/>
  <c r="N33" i="10"/>
  <c r="P33" i="10" s="1"/>
  <c r="M33" i="10"/>
  <c r="B33" i="10"/>
  <c r="P32" i="10"/>
  <c r="P31" i="10"/>
  <c r="P30" i="10"/>
  <c r="P29" i="10"/>
  <c r="P28" i="10"/>
  <c r="P27" i="10"/>
  <c r="P26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P25" i="10" s="1"/>
  <c r="P24" i="10"/>
  <c r="P23" i="10"/>
  <c r="P22" i="10"/>
  <c r="P21" i="10"/>
  <c r="P20" i="10"/>
  <c r="P19" i="10"/>
  <c r="P18" i="10"/>
  <c r="O17" i="10"/>
  <c r="N17" i="10"/>
  <c r="M17" i="10"/>
  <c r="L17" i="10"/>
  <c r="K17" i="10"/>
  <c r="J17" i="10"/>
  <c r="I17" i="10"/>
  <c r="H17" i="10"/>
  <c r="G17" i="10"/>
  <c r="F17" i="10"/>
  <c r="P17" i="10" s="1"/>
  <c r="E17" i="10"/>
  <c r="D17" i="10"/>
  <c r="B17" i="10"/>
  <c r="P16" i="10"/>
  <c r="P15" i="10"/>
  <c r="P14" i="10"/>
  <c r="P13" i="10"/>
  <c r="P12" i="10"/>
  <c r="P11" i="10"/>
  <c r="P10" i="10"/>
  <c r="O315" i="9"/>
  <c r="N315" i="9"/>
  <c r="M315" i="9"/>
  <c r="L315" i="9"/>
  <c r="K315" i="9"/>
  <c r="J315" i="9"/>
  <c r="I315" i="9"/>
  <c r="H315" i="9"/>
  <c r="G315" i="9"/>
  <c r="F315" i="9"/>
  <c r="E315" i="9"/>
  <c r="D315" i="9"/>
  <c r="P315" i="9" s="1"/>
  <c r="B315" i="9"/>
  <c r="S313" i="9"/>
  <c r="R313" i="9"/>
  <c r="P313" i="9"/>
  <c r="P312" i="9"/>
  <c r="P311" i="9"/>
  <c r="P310" i="9"/>
  <c r="P309" i="9"/>
  <c r="P308" i="9"/>
  <c r="P307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P306" i="9" s="1"/>
  <c r="B306" i="9"/>
  <c r="R304" i="9"/>
  <c r="S304" i="9" s="1"/>
  <c r="P304" i="9"/>
  <c r="P303" i="9"/>
  <c r="P302" i="9"/>
  <c r="P301" i="9"/>
  <c r="P300" i="9"/>
  <c r="P299" i="9"/>
  <c r="P298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B297" i="9"/>
  <c r="S295" i="9"/>
  <c r="R295" i="9"/>
  <c r="R289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B288" i="9"/>
  <c r="S286" i="9"/>
  <c r="R286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B279" i="9"/>
  <c r="S277" i="9"/>
  <c r="R277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P270" i="9" s="1"/>
  <c r="B270" i="9"/>
  <c r="S268" i="9"/>
  <c r="R268" i="9"/>
  <c r="P268" i="9"/>
  <c r="P267" i="9"/>
  <c r="P266" i="9"/>
  <c r="P265" i="9"/>
  <c r="P264" i="9"/>
  <c r="P263" i="9"/>
  <c r="P262" i="9"/>
  <c r="O261" i="9"/>
  <c r="N261" i="9"/>
  <c r="M261" i="9"/>
  <c r="L261" i="9"/>
  <c r="K261" i="9"/>
  <c r="J261" i="9"/>
  <c r="I261" i="9"/>
  <c r="H261" i="9"/>
  <c r="G261" i="9"/>
  <c r="F261" i="9"/>
  <c r="E261" i="9"/>
  <c r="P261" i="9" s="1"/>
  <c r="D261" i="9"/>
  <c r="B261" i="9"/>
  <c r="S259" i="9"/>
  <c r="R259" i="9"/>
  <c r="P259" i="9"/>
  <c r="P258" i="9"/>
  <c r="P257" i="9"/>
  <c r="P256" i="9"/>
  <c r="P255" i="9"/>
  <c r="P254" i="9"/>
  <c r="P253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S250" i="9"/>
  <c r="R250" i="9"/>
  <c r="P250" i="9"/>
  <c r="P249" i="9"/>
  <c r="P248" i="9"/>
  <c r="P247" i="9"/>
  <c r="P246" i="9"/>
  <c r="P245" i="9"/>
  <c r="P252" i="9" s="1"/>
  <c r="P244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P243" i="9" s="1"/>
  <c r="B243" i="9"/>
  <c r="R241" i="9"/>
  <c r="P241" i="9"/>
  <c r="P240" i="9"/>
  <c r="P239" i="9"/>
  <c r="P238" i="9"/>
  <c r="P237" i="9"/>
  <c r="P236" i="9"/>
  <c r="R235" i="9"/>
  <c r="S241" i="9" s="1"/>
  <c r="P235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P234" i="9" s="1"/>
  <c r="B234" i="9"/>
  <c r="R232" i="9"/>
  <c r="P232" i="9"/>
  <c r="P231" i="9"/>
  <c r="P230" i="9"/>
  <c r="P229" i="9"/>
  <c r="P228" i="9"/>
  <c r="P227" i="9"/>
  <c r="R226" i="9"/>
  <c r="S232" i="9" s="1"/>
  <c r="P226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B225" i="9"/>
  <c r="S223" i="9"/>
  <c r="R223" i="9"/>
  <c r="P223" i="9"/>
  <c r="P222" i="9"/>
  <c r="P221" i="9"/>
  <c r="P220" i="9"/>
  <c r="P219" i="9"/>
  <c r="P218" i="9"/>
  <c r="P217" i="9"/>
  <c r="P225" i="9" s="1"/>
  <c r="O216" i="9"/>
  <c r="N216" i="9"/>
  <c r="M216" i="9"/>
  <c r="L216" i="9"/>
  <c r="K216" i="9"/>
  <c r="J216" i="9"/>
  <c r="I216" i="9"/>
  <c r="H216" i="9"/>
  <c r="G216" i="9"/>
  <c r="F216" i="9"/>
  <c r="E216" i="9"/>
  <c r="D216" i="9"/>
  <c r="P216" i="9" s="1"/>
  <c r="B216" i="9"/>
  <c r="R214" i="9"/>
  <c r="S214" i="9" s="1"/>
  <c r="P214" i="9"/>
  <c r="P213" i="9"/>
  <c r="P212" i="9"/>
  <c r="P211" i="9"/>
  <c r="P210" i="9"/>
  <c r="P209" i="9"/>
  <c r="P208" i="9"/>
  <c r="O207" i="9"/>
  <c r="N207" i="9"/>
  <c r="M207" i="9"/>
  <c r="L207" i="9"/>
  <c r="K207" i="9"/>
  <c r="J207" i="9"/>
  <c r="I207" i="9"/>
  <c r="H207" i="9"/>
  <c r="P207" i="9" s="1"/>
  <c r="G207" i="9"/>
  <c r="F207" i="9"/>
  <c r="E207" i="9"/>
  <c r="D207" i="9"/>
  <c r="S205" i="9"/>
  <c r="R205" i="9"/>
  <c r="P205" i="9"/>
  <c r="P204" i="9"/>
  <c r="P203" i="9"/>
  <c r="P202" i="9"/>
  <c r="P201" i="9"/>
  <c r="P200" i="9"/>
  <c r="P199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P198" i="9" s="1"/>
  <c r="B198" i="9"/>
  <c r="S196" i="9"/>
  <c r="R196" i="9"/>
  <c r="P196" i="9"/>
  <c r="P195" i="9"/>
  <c r="P194" i="9"/>
  <c r="P193" i="9"/>
  <c r="P192" i="9"/>
  <c r="P191" i="9"/>
  <c r="P190" i="9"/>
  <c r="O189" i="9"/>
  <c r="N189" i="9"/>
  <c r="M189" i="9"/>
  <c r="L189" i="9"/>
  <c r="K189" i="9"/>
  <c r="J189" i="9"/>
  <c r="I189" i="9"/>
  <c r="H189" i="9"/>
  <c r="G189" i="9"/>
  <c r="F189" i="9"/>
  <c r="E189" i="9"/>
  <c r="P189" i="9" s="1"/>
  <c r="D189" i="9"/>
  <c r="R187" i="9"/>
  <c r="S187" i="9" s="1"/>
  <c r="P187" i="9"/>
  <c r="P186" i="9"/>
  <c r="P185" i="9"/>
  <c r="P184" i="9"/>
  <c r="P183" i="9"/>
  <c r="P182" i="9"/>
  <c r="P181" i="9"/>
  <c r="O180" i="9"/>
  <c r="N180" i="9"/>
  <c r="M180" i="9"/>
  <c r="L180" i="9"/>
  <c r="K180" i="9"/>
  <c r="J180" i="9"/>
  <c r="I180" i="9"/>
  <c r="H180" i="9"/>
  <c r="G180" i="9"/>
  <c r="P180" i="9" s="1"/>
  <c r="F180" i="9"/>
  <c r="E180" i="9"/>
  <c r="D180" i="9"/>
  <c r="B180" i="9"/>
  <c r="R178" i="9"/>
  <c r="S178" i="9" s="1"/>
  <c r="P178" i="9"/>
  <c r="P177" i="9"/>
  <c r="P176" i="9"/>
  <c r="P175" i="9"/>
  <c r="P174" i="9"/>
  <c r="P173" i="9"/>
  <c r="R172" i="9"/>
  <c r="P172" i="9"/>
  <c r="O171" i="9"/>
  <c r="N171" i="9"/>
  <c r="M171" i="9"/>
  <c r="L171" i="9"/>
  <c r="K171" i="9"/>
  <c r="J171" i="9"/>
  <c r="I171" i="9"/>
  <c r="H171" i="9"/>
  <c r="P171" i="9" s="1"/>
  <c r="G171" i="9"/>
  <c r="F171" i="9"/>
  <c r="E171" i="9"/>
  <c r="D171" i="9"/>
  <c r="B171" i="9"/>
  <c r="R169" i="9"/>
  <c r="S169" i="9" s="1"/>
  <c r="P169" i="9"/>
  <c r="P168" i="9"/>
  <c r="P167" i="9"/>
  <c r="P166" i="9"/>
  <c r="P165" i="9"/>
  <c r="P164" i="9"/>
  <c r="R163" i="9"/>
  <c r="P163" i="9"/>
  <c r="O162" i="9"/>
  <c r="N162" i="9"/>
  <c r="M162" i="9"/>
  <c r="L162" i="9"/>
  <c r="K162" i="9"/>
  <c r="J162" i="9"/>
  <c r="I162" i="9"/>
  <c r="H162" i="9"/>
  <c r="P162" i="9" s="1"/>
  <c r="G162" i="9"/>
  <c r="F162" i="9"/>
  <c r="E162" i="9"/>
  <c r="D162" i="9"/>
  <c r="B162" i="9"/>
  <c r="R160" i="9"/>
  <c r="S160" i="9" s="1"/>
  <c r="P160" i="9"/>
  <c r="P159" i="9"/>
  <c r="P158" i="9"/>
  <c r="P157" i="9"/>
  <c r="P156" i="9"/>
  <c r="P155" i="9"/>
  <c r="R154" i="9"/>
  <c r="P154" i="9"/>
  <c r="O153" i="9"/>
  <c r="N153" i="9"/>
  <c r="M153" i="9"/>
  <c r="L153" i="9"/>
  <c r="K153" i="9"/>
  <c r="J153" i="9"/>
  <c r="I153" i="9"/>
  <c r="H153" i="9"/>
  <c r="P153" i="9" s="1"/>
  <c r="G153" i="9"/>
  <c r="F153" i="9"/>
  <c r="E153" i="9"/>
  <c r="D153" i="9"/>
  <c r="B153" i="9"/>
  <c r="R151" i="9"/>
  <c r="S151" i="9" s="1"/>
  <c r="P151" i="9"/>
  <c r="P150" i="9"/>
  <c r="P149" i="9"/>
  <c r="P148" i="9"/>
  <c r="P147" i="9"/>
  <c r="P146" i="9"/>
  <c r="P145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P144" i="9" s="1"/>
  <c r="B144" i="9"/>
  <c r="S142" i="9"/>
  <c r="R142" i="9"/>
  <c r="P142" i="9"/>
  <c r="P141" i="9"/>
  <c r="P140" i="9"/>
  <c r="P139" i="9"/>
  <c r="P138" i="9"/>
  <c r="P137" i="9"/>
  <c r="P136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P135" i="9" s="1"/>
  <c r="B135" i="9"/>
  <c r="R133" i="9"/>
  <c r="S133" i="9" s="1"/>
  <c r="P133" i="9"/>
  <c r="P132" i="9"/>
  <c r="P131" i="9"/>
  <c r="P130" i="9"/>
  <c r="P129" i="9"/>
  <c r="P128" i="9"/>
  <c r="R127" i="9"/>
  <c r="P127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P126" i="9" s="1"/>
  <c r="B126" i="9"/>
  <c r="R125" i="9"/>
  <c r="S125" i="9" s="1"/>
  <c r="P124" i="9"/>
  <c r="P123" i="9"/>
  <c r="P122" i="9"/>
  <c r="P121" i="9"/>
  <c r="P120" i="9"/>
  <c r="P119" i="9"/>
  <c r="R118" i="9"/>
  <c r="P118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B117" i="9"/>
  <c r="R115" i="9"/>
  <c r="S115" i="9" s="1"/>
  <c r="P115" i="9"/>
  <c r="P114" i="9"/>
  <c r="P113" i="9"/>
  <c r="P112" i="9"/>
  <c r="P111" i="9"/>
  <c r="P110" i="9"/>
  <c r="P109" i="9"/>
  <c r="P117" i="9" s="1"/>
  <c r="O108" i="9"/>
  <c r="N108" i="9"/>
  <c r="M108" i="9"/>
  <c r="L108" i="9"/>
  <c r="K108" i="9"/>
  <c r="J108" i="9"/>
  <c r="I108" i="9"/>
  <c r="H108" i="9"/>
  <c r="G108" i="9"/>
  <c r="F108" i="9"/>
  <c r="E108" i="9"/>
  <c r="D108" i="9"/>
  <c r="B108" i="9"/>
  <c r="S106" i="9"/>
  <c r="R106" i="9"/>
  <c r="O99" i="9"/>
  <c r="N99" i="9"/>
  <c r="M99" i="9"/>
  <c r="L99" i="9"/>
  <c r="K99" i="9"/>
  <c r="J99" i="9"/>
  <c r="I99" i="9"/>
  <c r="H99" i="9"/>
  <c r="G99" i="9"/>
  <c r="F99" i="9"/>
  <c r="E99" i="9"/>
  <c r="D99" i="9"/>
  <c r="P99" i="9" s="1"/>
  <c r="B99" i="9"/>
  <c r="P98" i="9"/>
  <c r="R97" i="9"/>
  <c r="S97" i="9" s="1"/>
  <c r="P97" i="9"/>
  <c r="P96" i="9"/>
  <c r="P95" i="9"/>
  <c r="P94" i="9"/>
  <c r="P93" i="9"/>
  <c r="P92" i="9"/>
  <c r="P91" i="9"/>
  <c r="O90" i="9"/>
  <c r="N90" i="9"/>
  <c r="M90" i="9"/>
  <c r="L90" i="9"/>
  <c r="K90" i="9"/>
  <c r="J90" i="9"/>
  <c r="I90" i="9"/>
  <c r="H90" i="9"/>
  <c r="G90" i="9"/>
  <c r="F90" i="9"/>
  <c r="E90" i="9"/>
  <c r="D90" i="9"/>
  <c r="P90" i="9" s="1"/>
  <c r="B90" i="9"/>
  <c r="P89" i="9"/>
  <c r="R88" i="9"/>
  <c r="S88" i="9" s="1"/>
  <c r="P88" i="9"/>
  <c r="P87" i="9"/>
  <c r="P86" i="9"/>
  <c r="P85" i="9"/>
  <c r="P84" i="9"/>
  <c r="P83" i="9"/>
  <c r="P82" i="9"/>
  <c r="O81" i="9"/>
  <c r="N81" i="9"/>
  <c r="M81" i="9"/>
  <c r="L81" i="9"/>
  <c r="K81" i="9"/>
  <c r="J81" i="9"/>
  <c r="I81" i="9"/>
  <c r="H81" i="9"/>
  <c r="G81" i="9"/>
  <c r="F81" i="9"/>
  <c r="E81" i="9"/>
  <c r="D81" i="9"/>
  <c r="P81" i="9" s="1"/>
  <c r="B81" i="9"/>
  <c r="P80" i="9"/>
  <c r="R79" i="9"/>
  <c r="S79" i="9" s="1"/>
  <c r="P79" i="9"/>
  <c r="P78" i="9"/>
  <c r="P77" i="9"/>
  <c r="P76" i="9"/>
  <c r="P75" i="9"/>
  <c r="P74" i="9"/>
  <c r="P73" i="9"/>
  <c r="O72" i="9"/>
  <c r="N72" i="9"/>
  <c r="M72" i="9"/>
  <c r="L72" i="9"/>
  <c r="K72" i="9"/>
  <c r="J72" i="9"/>
  <c r="I72" i="9"/>
  <c r="H72" i="9"/>
  <c r="G72" i="9"/>
  <c r="F72" i="9"/>
  <c r="E72" i="9"/>
  <c r="D72" i="9"/>
  <c r="P72" i="9" s="1"/>
  <c r="P71" i="9"/>
  <c r="S70" i="9"/>
  <c r="R70" i="9"/>
  <c r="P70" i="9"/>
  <c r="P69" i="9"/>
  <c r="P68" i="9"/>
  <c r="P67" i="9"/>
  <c r="P66" i="9"/>
  <c r="P65" i="9"/>
  <c r="P64" i="9"/>
  <c r="O63" i="9"/>
  <c r="N63" i="9"/>
  <c r="M63" i="9"/>
  <c r="L63" i="9"/>
  <c r="K63" i="9"/>
  <c r="J63" i="9"/>
  <c r="I63" i="9"/>
  <c r="H63" i="9"/>
  <c r="G63" i="9"/>
  <c r="F63" i="9"/>
  <c r="E63" i="9"/>
  <c r="P63" i="9" s="1"/>
  <c r="D63" i="9"/>
  <c r="R62" i="9"/>
  <c r="S62" i="9" s="1"/>
  <c r="P61" i="9"/>
  <c r="P60" i="9"/>
  <c r="P59" i="9"/>
  <c r="P58" i="9"/>
  <c r="P57" i="9"/>
  <c r="P56" i="9"/>
  <c r="P55" i="9"/>
  <c r="O54" i="9"/>
  <c r="N54" i="9"/>
  <c r="M54" i="9"/>
  <c r="L54" i="9"/>
  <c r="K54" i="9"/>
  <c r="J54" i="9"/>
  <c r="I54" i="9"/>
  <c r="H54" i="9"/>
  <c r="G54" i="9"/>
  <c r="F54" i="9"/>
  <c r="E54" i="9"/>
  <c r="D54" i="9"/>
  <c r="B54" i="9"/>
  <c r="P53" i="9"/>
  <c r="R52" i="9"/>
  <c r="S52" i="9" s="1"/>
  <c r="P52" i="9"/>
  <c r="P51" i="9"/>
  <c r="P50" i="9"/>
  <c r="P49" i="9"/>
  <c r="P48" i="9"/>
  <c r="P47" i="9"/>
  <c r="P46" i="9"/>
  <c r="P54" i="9" s="1"/>
  <c r="O45" i="9"/>
  <c r="N45" i="9"/>
  <c r="M45" i="9"/>
  <c r="L45" i="9"/>
  <c r="K45" i="9"/>
  <c r="J45" i="9"/>
  <c r="I45" i="9"/>
  <c r="H45" i="9"/>
  <c r="G45" i="9"/>
  <c r="F45" i="9"/>
  <c r="E45" i="9"/>
  <c r="D45" i="9"/>
  <c r="P45" i="9" s="1"/>
  <c r="B45" i="9"/>
  <c r="P44" i="9"/>
  <c r="R43" i="9"/>
  <c r="S43" i="9" s="1"/>
  <c r="P43" i="9"/>
  <c r="P42" i="9"/>
  <c r="P41" i="9"/>
  <c r="P40" i="9"/>
  <c r="P39" i="9"/>
  <c r="P38" i="9"/>
  <c r="P37" i="9"/>
  <c r="O36" i="9"/>
  <c r="N36" i="9"/>
  <c r="M36" i="9"/>
  <c r="L36" i="9"/>
  <c r="K36" i="9"/>
  <c r="J36" i="9"/>
  <c r="I36" i="9"/>
  <c r="H36" i="9"/>
  <c r="G36" i="9"/>
  <c r="F36" i="9"/>
  <c r="E36" i="9"/>
  <c r="D36" i="9"/>
  <c r="P36" i="9" s="1"/>
  <c r="B36" i="9"/>
  <c r="R34" i="9"/>
  <c r="S34" i="9" s="1"/>
  <c r="P34" i="9"/>
  <c r="P33" i="9"/>
  <c r="P32" i="9"/>
  <c r="P31" i="9"/>
  <c r="P30" i="9"/>
  <c r="P29" i="9"/>
  <c r="R28" i="9"/>
  <c r="P28" i="9"/>
  <c r="O27" i="9"/>
  <c r="N27" i="9"/>
  <c r="M27" i="9"/>
  <c r="L27" i="9"/>
  <c r="K27" i="9"/>
  <c r="J27" i="9"/>
  <c r="I27" i="9"/>
  <c r="H27" i="9"/>
  <c r="G27" i="9"/>
  <c r="F27" i="9"/>
  <c r="E27" i="9"/>
  <c r="D27" i="9"/>
  <c r="P27" i="9" s="1"/>
  <c r="P26" i="9"/>
  <c r="R25" i="9"/>
  <c r="S25" i="9" s="1"/>
  <c r="P25" i="9"/>
  <c r="P24" i="9"/>
  <c r="P23" i="9"/>
  <c r="P22" i="9"/>
  <c r="P21" i="9"/>
  <c r="P20" i="9"/>
  <c r="P19" i="9"/>
  <c r="O18" i="9"/>
  <c r="N18" i="9"/>
  <c r="M18" i="9"/>
  <c r="L18" i="9"/>
  <c r="K18" i="9"/>
  <c r="J18" i="9"/>
  <c r="I18" i="9"/>
  <c r="H18" i="9"/>
  <c r="G18" i="9"/>
  <c r="P18" i="9" s="1"/>
  <c r="F18" i="9"/>
  <c r="E18" i="9"/>
  <c r="D18" i="9"/>
  <c r="B18" i="9"/>
  <c r="P17" i="9"/>
  <c r="R16" i="9"/>
  <c r="S16" i="9" s="1"/>
  <c r="P16" i="9"/>
  <c r="P15" i="9"/>
  <c r="P14" i="9"/>
  <c r="P13" i="9"/>
  <c r="P12" i="9"/>
  <c r="P11" i="9"/>
  <c r="R10" i="9"/>
  <c r="R316" i="9" s="1"/>
  <c r="P10" i="9"/>
  <c r="B25" i="7"/>
  <c r="B16" i="7"/>
  <c r="B34" i="6"/>
  <c r="B25" i="6"/>
  <c r="B16" i="6"/>
  <c r="Q97" i="4"/>
  <c r="P97" i="4"/>
  <c r="O97" i="4"/>
  <c r="N97" i="4"/>
  <c r="M97" i="4"/>
  <c r="L97" i="4"/>
  <c r="K97" i="4"/>
  <c r="J97" i="4"/>
  <c r="I97" i="4"/>
  <c r="H97" i="4"/>
  <c r="G97" i="4"/>
  <c r="F97" i="4"/>
  <c r="Q88" i="4"/>
  <c r="P88" i="4"/>
  <c r="O88" i="4"/>
  <c r="N88" i="4"/>
  <c r="M88" i="4"/>
  <c r="L88" i="4"/>
  <c r="K88" i="4"/>
  <c r="J88" i="4"/>
  <c r="I88" i="4"/>
  <c r="H88" i="4"/>
  <c r="G88" i="4"/>
  <c r="F88" i="4"/>
  <c r="Q79" i="4"/>
  <c r="P79" i="4"/>
  <c r="O79" i="4"/>
  <c r="N79" i="4"/>
  <c r="M79" i="4"/>
  <c r="L79" i="4"/>
  <c r="K79" i="4"/>
  <c r="J79" i="4"/>
  <c r="I79" i="4"/>
  <c r="H79" i="4"/>
  <c r="G79" i="4"/>
  <c r="F79" i="4"/>
  <c r="Q70" i="4"/>
  <c r="P70" i="4"/>
  <c r="O70" i="4"/>
  <c r="N70" i="4"/>
  <c r="M70" i="4"/>
  <c r="L70" i="4"/>
  <c r="K70" i="4"/>
  <c r="J70" i="4"/>
  <c r="I70" i="4"/>
  <c r="H70" i="4"/>
  <c r="G70" i="4"/>
  <c r="F70" i="4"/>
  <c r="Q61" i="4"/>
  <c r="P61" i="4"/>
  <c r="O61" i="4"/>
  <c r="N61" i="4"/>
  <c r="M61" i="4"/>
  <c r="L61" i="4"/>
  <c r="K61" i="4"/>
  <c r="J61" i="4"/>
  <c r="I61" i="4"/>
  <c r="H61" i="4"/>
  <c r="G61" i="4"/>
  <c r="F61" i="4"/>
  <c r="Q52" i="4"/>
  <c r="P52" i="4"/>
  <c r="O52" i="4"/>
  <c r="N52" i="4"/>
  <c r="M52" i="4"/>
  <c r="L52" i="4"/>
  <c r="K52" i="4"/>
  <c r="J52" i="4"/>
  <c r="I52" i="4"/>
  <c r="H52" i="4"/>
  <c r="G52" i="4"/>
  <c r="F52" i="4"/>
  <c r="Q43" i="4"/>
  <c r="P43" i="4"/>
  <c r="O43" i="4"/>
  <c r="N43" i="4"/>
  <c r="M43" i="4"/>
  <c r="L43" i="4"/>
  <c r="K43" i="4"/>
  <c r="J43" i="4"/>
  <c r="I43" i="4"/>
  <c r="H43" i="4"/>
  <c r="G43" i="4"/>
  <c r="F43" i="4"/>
  <c r="Q34" i="4"/>
  <c r="P34" i="4"/>
  <c r="O34" i="4"/>
  <c r="N34" i="4"/>
  <c r="M34" i="4"/>
  <c r="L34" i="4"/>
  <c r="K34" i="4"/>
  <c r="J34" i="4"/>
  <c r="I34" i="4"/>
  <c r="H34" i="4"/>
  <c r="G34" i="4"/>
  <c r="F34" i="4"/>
  <c r="Q25" i="4"/>
  <c r="P25" i="4"/>
  <c r="O25" i="4"/>
  <c r="N25" i="4"/>
  <c r="M25" i="4"/>
  <c r="L25" i="4"/>
  <c r="K25" i="4"/>
  <c r="J25" i="4"/>
  <c r="I25" i="4"/>
  <c r="H25" i="4"/>
  <c r="G25" i="4"/>
  <c r="F25" i="4"/>
  <c r="B25" i="4"/>
  <c r="Q16" i="4"/>
  <c r="P16" i="4"/>
  <c r="O16" i="4"/>
  <c r="N16" i="4"/>
  <c r="M16" i="4"/>
  <c r="L16" i="4"/>
  <c r="K16" i="4"/>
  <c r="J16" i="4"/>
  <c r="I16" i="4"/>
  <c r="H16" i="4"/>
  <c r="G16" i="4"/>
  <c r="F16" i="4"/>
  <c r="B16" i="4"/>
  <c r="Q34" i="3"/>
  <c r="P34" i="3"/>
  <c r="O34" i="3"/>
  <c r="N34" i="3"/>
  <c r="M34" i="3"/>
  <c r="L34" i="3"/>
  <c r="K34" i="3"/>
  <c r="J34" i="3"/>
  <c r="I34" i="3"/>
  <c r="H34" i="3"/>
  <c r="G34" i="3"/>
  <c r="F34" i="3"/>
  <c r="B34" i="2"/>
  <c r="B25" i="2"/>
  <c r="B16" i="2"/>
  <c r="S317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8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 xml:space="preserve">Microsoft Office User: Worked fewer hours over the January period
</t>
        </r>
      </text>
    </comment>
  </commentList>
</comments>
</file>

<file path=xl/sharedStrings.xml><?xml version="1.0" encoding="utf-8"?>
<sst xmlns="http://schemas.openxmlformats.org/spreadsheetml/2006/main" count="2762" uniqueCount="371">
  <si>
    <t>Intersective Pty Ltd</t>
  </si>
  <si>
    <t>1 July 2022 - 30 June 2023</t>
  </si>
  <si>
    <t>Timesheet Template</t>
  </si>
  <si>
    <t>R&amp;D Activity: Privacy (CRC-P)</t>
  </si>
  <si>
    <t>Name</t>
  </si>
  <si>
    <t>Contractor?</t>
  </si>
  <si>
    <t>Overseas?</t>
  </si>
  <si>
    <t>Beau Leese</t>
  </si>
  <si>
    <t>N</t>
  </si>
  <si>
    <t>Preliminary Investigation/ Analysis</t>
  </si>
  <si>
    <t>Co-CEO</t>
  </si>
  <si>
    <t>Specifications and Requirement Analysis</t>
  </si>
  <si>
    <t>Design and Architecture</t>
  </si>
  <si>
    <t>Development and Coding</t>
  </si>
  <si>
    <t>Testing</t>
  </si>
  <si>
    <t>Technical improvement/feedback/code re-write</t>
  </si>
  <si>
    <t>Project support (Supporting activities)</t>
  </si>
  <si>
    <t>Non-R&amp;D Related Time</t>
  </si>
  <si>
    <t xml:space="preserve">Total </t>
  </si>
  <si>
    <t>Suzy Watson</t>
  </si>
  <si>
    <t>COO</t>
  </si>
  <si>
    <t>Anthony Watson</t>
  </si>
  <si>
    <t>Director - CRC P</t>
  </si>
  <si>
    <t>Beenish Sami</t>
  </si>
  <si>
    <t>Director Engineering</t>
  </si>
  <si>
    <t>Hongye Li</t>
  </si>
  <si>
    <t>Learning Analyst</t>
  </si>
  <si>
    <t>Rodrigo Haverbeck Maralla</t>
  </si>
  <si>
    <t>Design</t>
  </si>
  <si>
    <t>Djazia Ladjal</t>
  </si>
  <si>
    <t>Senior Data Scientist</t>
  </si>
  <si>
    <t>Shyama Vydyula</t>
  </si>
  <si>
    <t>Data Analyst</t>
  </si>
  <si>
    <t>Shawn ( Xiao ) Ma</t>
  </si>
  <si>
    <t>Developer</t>
  </si>
  <si>
    <t>Paul Maxwell Walters</t>
  </si>
  <si>
    <t>QA</t>
  </si>
  <si>
    <t>Chaw Sau Shen</t>
  </si>
  <si>
    <t>Y</t>
  </si>
  <si>
    <t>Sasanga Chathumal</t>
  </si>
  <si>
    <t>Terence Ng</t>
  </si>
  <si>
    <t>Katrina Greig</t>
  </si>
  <si>
    <t>n</t>
  </si>
  <si>
    <t>Program Manager</t>
  </si>
  <si>
    <t xml:space="preserve">Hope Dolino </t>
  </si>
  <si>
    <t>Program manager</t>
  </si>
  <si>
    <t>Sunil Badyankal</t>
  </si>
  <si>
    <t>Dev Ops</t>
  </si>
  <si>
    <t>Sharon Roy</t>
  </si>
  <si>
    <t>Tech CS analyst</t>
  </si>
  <si>
    <t>Ehsan Muhammad</t>
  </si>
  <si>
    <t>Senior Developer</t>
  </si>
  <si>
    <t>R&amp;D Activity: LA</t>
  </si>
  <si>
    <t>Signifcant revamp of the analysis of the learning analytics results a collection points</t>
  </si>
  <si>
    <t>Wes Sonnenreich</t>
  </si>
  <si>
    <t>Architect</t>
  </si>
  <si>
    <t>Hope Dolino</t>
  </si>
  <si>
    <t>Programs Manager</t>
  </si>
  <si>
    <t>Zoe De reus</t>
  </si>
  <si>
    <t>Yu Ren Tan</t>
  </si>
  <si>
    <t>Program Administrator</t>
  </si>
  <si>
    <t>Brigitte McKeena</t>
  </si>
  <si>
    <t>Learning Design</t>
  </si>
  <si>
    <t>Kabita Rai</t>
  </si>
  <si>
    <t>James Sullivan</t>
  </si>
  <si>
    <t>Moved offshore starting July</t>
  </si>
  <si>
    <t>Rodney Lingganay</t>
  </si>
  <si>
    <t>y</t>
  </si>
  <si>
    <t>Testing/Data Analyst</t>
  </si>
  <si>
    <t>#embedded-analytics</t>
  </si>
  <si>
    <t>#elsa-feedback</t>
  </si>
  <si>
    <t>aws cybersec environment</t>
  </si>
  <si>
    <t>#aws-cloud-project</t>
  </si>
  <si>
    <t>integrating new LA calculations into the Practera dashboard</t>
  </si>
  <si>
    <t>review of elsa LA detectors</t>
  </si>
  <si>
    <t>goal was to create a sandbox for cybersec that would be able to send LA data to practera as students completed pentesting exercises</t>
  </si>
  <si>
    <t>goal was to create a sandbox for cloud computing that would be able to send LA data to practera as students completed cloud exercises</t>
  </si>
  <si>
    <t>being able to determine impact of new analytics on student outcomes</t>
  </si>
  <si>
    <t>developed from Apr thru Sept</t>
  </si>
  <si>
    <t>R&amp;D Activity: Generative AI for learning feedback</t>
  </si>
  <si>
    <t>Brigitte McKenna</t>
  </si>
  <si>
    <t>Leanring Designer</t>
  </si>
  <si>
    <t>Adrian Supetran</t>
  </si>
  <si>
    <t>Shawn Ma</t>
  </si>
  <si>
    <t xml:space="preserve">Paul </t>
  </si>
  <si>
    <t>Notes</t>
  </si>
  <si>
    <t>https://docs.google.com/document/d/17Pz9rMTpKA39edZ-gUl3NTAvyt9gHWIuXLguAnZBxDw/edit#</t>
  </si>
  <si>
    <t>Design discussions on GPT for AI feedback</t>
  </si>
  <si>
    <t>Initial testing planning for GPT integration</t>
  </si>
  <si>
    <t>Development of GPT integration, testing of GPT4 for giving feedback on code</t>
  </si>
  <si>
    <t>see ai-feedback-interns private channe</t>
  </si>
  <si>
    <t>Begin developing exemplars to test feedback quality, see slack channel #chatgpt-experiements</t>
  </si>
  <si>
    <t>testing of AI feedback</t>
  </si>
  <si>
    <t>Darpa Tools competition</t>
  </si>
  <si>
    <t>https://docs.google.com/presentation/d/1jCCpx5sPGwVdF8mSBuip1KkT9sNUjp9KKSHMqF4GdrQ/edit#slide=id.g1d2de81a806_0_0</t>
  </si>
  <si>
    <t>planning research, design</t>
  </si>
  <si>
    <t>passing various student work into gpt, experimenting with prompts and rubric design to get good feedback</t>
  </si>
  <si>
    <t>https://intersective.atlassian.net/browse/CORE-5785</t>
  </si>
  <si>
    <t>https://intersective.atlassian.net/browse/CORE-5786</t>
  </si>
  <si>
    <t>1 July 2021 - 30 June 2022</t>
  </si>
  <si>
    <t>Bryan Oh</t>
  </si>
  <si>
    <t>Ali Pearson</t>
  </si>
  <si>
    <t>Configuration</t>
  </si>
  <si>
    <t>Emily O'Callaghan/ Brigitte McKenna</t>
  </si>
  <si>
    <t xml:space="preserve">Programs </t>
  </si>
  <si>
    <t>Ho Yeung Cheung</t>
  </si>
  <si>
    <t>Program Coordinator</t>
  </si>
  <si>
    <t>Rodrigo Haverbeck Marello</t>
  </si>
  <si>
    <t>Rachel Cheung</t>
  </si>
  <si>
    <t>Program Ma</t>
  </si>
  <si>
    <t>Kavita Goswami</t>
  </si>
  <si>
    <t>Employee</t>
  </si>
  <si>
    <t>Employment Status</t>
  </si>
  <si>
    <t>Location</t>
  </si>
  <si>
    <t>Teams</t>
  </si>
  <si>
    <t>Age</t>
  </si>
  <si>
    <t>Start date</t>
  </si>
  <si>
    <t>End date</t>
  </si>
  <si>
    <t>Duration</t>
  </si>
  <si>
    <t>Onshore</t>
  </si>
  <si>
    <t>% FY 22/23</t>
  </si>
  <si>
    <t>Active</t>
  </si>
  <si>
    <t>Manilla</t>
  </si>
  <si>
    <t>30-39</t>
  </si>
  <si>
    <t>2.3 Years</t>
  </si>
  <si>
    <t>Akshita Jain</t>
  </si>
  <si>
    <t>Terminated</t>
  </si>
  <si>
    <t>Melbourne</t>
  </si>
  <si>
    <t>Projects</t>
  </si>
  <si>
    <t>20-29</t>
  </si>
  <si>
    <t>1.5 Years</t>
  </si>
  <si>
    <t>Alison Pearson</t>
  </si>
  <si>
    <t>Customer Success</t>
  </si>
  <si>
    <t>6.2 Years</t>
  </si>
  <si>
    <t>Maternity Leave</t>
  </si>
  <si>
    <t>Anj Servilla</t>
  </si>
  <si>
    <t>1.4 Years</t>
  </si>
  <si>
    <t>Perth</t>
  </si>
  <si>
    <t>Programs</t>
  </si>
  <si>
    <t>60+</t>
  </si>
  <si>
    <t>2.8 Years</t>
  </si>
  <si>
    <t>Archelle Valde</t>
  </si>
  <si>
    <t>Sales</t>
  </si>
  <si>
    <t>1.7 Years</t>
  </si>
  <si>
    <t>Executive</t>
  </si>
  <si>
    <t>40-49</t>
  </si>
  <si>
    <t>8.5 Years</t>
  </si>
  <si>
    <t>Sydney</t>
  </si>
  <si>
    <t>Engineering</t>
  </si>
  <si>
    <t>6.5 Years</t>
  </si>
  <si>
    <t>Brigitte Mckenna</t>
  </si>
  <si>
    <t>2.1 Years</t>
  </si>
  <si>
    <t>Charie Ducusin</t>
  </si>
  <si>
    <t>2.2 Years</t>
  </si>
  <si>
    <t>Malaysia</t>
  </si>
  <si>
    <t>8.3 Years</t>
  </si>
  <si>
    <t>Chris Soriano</t>
  </si>
  <si>
    <t>0.1 Year</t>
  </si>
  <si>
    <t>Cristine Fajilan</t>
  </si>
  <si>
    <t>1 Year</t>
  </si>
  <si>
    <t>Data</t>
  </si>
  <si>
    <t>2.5 Years</t>
  </si>
  <si>
    <t>Islamabad</t>
  </si>
  <si>
    <t>7.8 Years</t>
  </si>
  <si>
    <t>5.3 Years</t>
  </si>
  <si>
    <t>Songkhla</t>
  </si>
  <si>
    <t>MOVED OFFSHORE 1 JULY 2022 - thailand with his girlfriend</t>
  </si>
  <si>
    <t>Jane Hallett</t>
  </si>
  <si>
    <t>UK</t>
  </si>
  <si>
    <t>5.8 Years</t>
  </si>
  <si>
    <t>Jayson Palileo</t>
  </si>
  <si>
    <t>Jenny Hu</t>
  </si>
  <si>
    <t>Marketing</t>
  </si>
  <si>
    <t>1.2 Years</t>
  </si>
  <si>
    <t>JIllian Nathalie Derit</t>
  </si>
  <si>
    <t>0.7 Year</t>
  </si>
  <si>
    <t>Johanna Andersson</t>
  </si>
  <si>
    <t>Brisbane</t>
  </si>
  <si>
    <t>2.9 Years</t>
  </si>
  <si>
    <t>Keesha Nicole Lluch</t>
  </si>
  <si>
    <t>Louise Moran</t>
  </si>
  <si>
    <t>Mark Christian Binuya</t>
  </si>
  <si>
    <t>0.8 Year</t>
  </si>
  <si>
    <t>Megan Sitoy</t>
  </si>
  <si>
    <t>1.3 Years</t>
  </si>
  <si>
    <t>Nicole Morse</t>
  </si>
  <si>
    <t>San Francisco</t>
  </si>
  <si>
    <t>Paul Maxwell-Walters</t>
  </si>
  <si>
    <t>3 Years</t>
  </si>
  <si>
    <t>Phoebe Agustin</t>
  </si>
  <si>
    <t>Prue Clifford</t>
  </si>
  <si>
    <t>Boston</t>
  </si>
  <si>
    <t>Quennie Soriano</t>
  </si>
  <si>
    <t>Recy Anne Lenares</t>
  </si>
  <si>
    <t>1.6 Years</t>
  </si>
  <si>
    <t>Rodrigo Haverback Maralla</t>
  </si>
  <si>
    <t>Product</t>
  </si>
  <si>
    <t>Sagar Dave</t>
  </si>
  <si>
    <t>50-59</t>
  </si>
  <si>
    <t>Samantha Merida</t>
  </si>
  <si>
    <t>0.3 Year</t>
  </si>
  <si>
    <t>Sanjaya Warnakulasuriya</t>
  </si>
  <si>
    <t>Colombo</t>
  </si>
  <si>
    <t>4.7 Years</t>
  </si>
  <si>
    <t>Sarah Major</t>
  </si>
  <si>
    <t>2.6 Years</t>
  </si>
  <si>
    <t>50% Maternity leave</t>
  </si>
  <si>
    <t>Sarvani Swayampakula</t>
  </si>
  <si>
    <t>0.4 Year</t>
  </si>
  <si>
    <t>Mumbai</t>
  </si>
  <si>
    <t>6.3 Years</t>
  </si>
  <si>
    <t>Shyama Malhari Vydyula</t>
  </si>
  <si>
    <t>2.4 Years</t>
  </si>
  <si>
    <t>Shyrrie Masangkay</t>
  </si>
  <si>
    <t>1.8 Years</t>
  </si>
  <si>
    <t>Sunil Shivananda Badyankal</t>
  </si>
  <si>
    <t>3.8 Years</t>
  </si>
  <si>
    <t>Sussanah Watson</t>
  </si>
  <si>
    <t>9.8 Years</t>
  </si>
  <si>
    <t>Theresa Mitchell</t>
  </si>
  <si>
    <t>11.8 Years</t>
  </si>
  <si>
    <t>Xiao Ma</t>
  </si>
  <si>
    <t>7.4 Years</t>
  </si>
  <si>
    <t>Yu Ren Eugene Tan</t>
  </si>
  <si>
    <t>Zoe Trinh</t>
  </si>
  <si>
    <t>Sanjaya</t>
  </si>
  <si>
    <t>Warnakulasuriya</t>
  </si>
  <si>
    <t>N/A</t>
  </si>
  <si>
    <t>Product Analyst</t>
  </si>
  <si>
    <t>Full-time</t>
  </si>
  <si>
    <t>Rodrigo</t>
  </si>
  <si>
    <t>Haverback Maralla</t>
  </si>
  <si>
    <t>6/23/2021</t>
  </si>
  <si>
    <t>Lead Product Design</t>
  </si>
  <si>
    <t>1 July 2017 - 30 June 2018</t>
  </si>
  <si>
    <t>R&amp;D Project:</t>
  </si>
  <si>
    <t>A predictive system for improving outcomes in applied learning</t>
  </si>
  <si>
    <t>environments.</t>
  </si>
  <si>
    <t>Non-R&amp;D time spent in company management 5%, Bd generally 20% Oct to Dec Capital raise, Jan-april Recruitment</t>
  </si>
  <si>
    <t>Employee/Contractor</t>
  </si>
  <si>
    <t>Co-CEO/ Lead Architect</t>
  </si>
  <si>
    <t>Total</t>
  </si>
  <si>
    <t>Phil Laufenberg</t>
  </si>
  <si>
    <t>Director Products &amp; Technology</t>
  </si>
  <si>
    <t>Jan Philipp Laufenberg</t>
  </si>
  <si>
    <t>Scrum Master</t>
  </si>
  <si>
    <t>Engineering team management</t>
  </si>
  <si>
    <t>Zaw Htut</t>
  </si>
  <si>
    <t>Back- End Developer</t>
  </si>
  <si>
    <t>Damon Wu</t>
  </si>
  <si>
    <t>Front - End Developer</t>
  </si>
  <si>
    <t>Maoze Wu</t>
  </si>
  <si>
    <t>Rocky Huang</t>
  </si>
  <si>
    <t>Tester</t>
  </si>
  <si>
    <t>Xiaolong Huang</t>
  </si>
  <si>
    <t>Srujana Enugala</t>
  </si>
  <si>
    <t>Terrence Ngok</t>
  </si>
  <si>
    <t>Chaw</t>
  </si>
  <si>
    <t>largely upskilling for system architecture</t>
  </si>
  <si>
    <t>Kven</t>
  </si>
  <si>
    <t>Barry Hui</t>
  </si>
  <si>
    <t>Skillshare in sprint review</t>
  </si>
  <si>
    <t>Charles</t>
  </si>
  <si>
    <t>Dr Eric Bau</t>
  </si>
  <si>
    <t>Engineering Lead</t>
  </si>
  <si>
    <t>Mina Marcus</t>
  </si>
  <si>
    <t>Ronak Armani</t>
  </si>
  <si>
    <t>Dr Fei Wang</t>
  </si>
  <si>
    <t>Data Scientist</t>
  </si>
  <si>
    <t>Ruth Marshall</t>
  </si>
  <si>
    <t>Director R&amp;D</t>
  </si>
  <si>
    <t>Anu Kaushal</t>
  </si>
  <si>
    <t>Analyst</t>
  </si>
  <si>
    <t>BA in Advisory project until March before moving in a Project analyst role</t>
  </si>
  <si>
    <t>Nikki James</t>
  </si>
  <si>
    <t>Director Experience &amp; Learning</t>
  </si>
  <si>
    <t>Nicole James</t>
  </si>
  <si>
    <t>Hayley Bolding</t>
  </si>
  <si>
    <t>National Manager Experience</t>
  </si>
  <si>
    <t>Alison Li</t>
  </si>
  <si>
    <t>Experiential Learning Analyst</t>
  </si>
  <si>
    <t>Experience Officer</t>
  </si>
  <si>
    <t>Kristin Tan</t>
  </si>
  <si>
    <t>Shi-Shi Truong</t>
  </si>
  <si>
    <t>Customer Requirements Officer</t>
  </si>
  <si>
    <t>Megan Underwood</t>
  </si>
  <si>
    <t>Learning Designer</t>
  </si>
  <si>
    <t>largely training</t>
  </si>
  <si>
    <t>Student Adovcate</t>
  </si>
  <si>
    <t>Suzi Kim</t>
  </si>
  <si>
    <t>Emma Styles</t>
  </si>
  <si>
    <t>Documentation of user requirements feeding into the feature matrix in Product strateguy roadmap</t>
  </si>
  <si>
    <t>June Huang</t>
  </si>
  <si>
    <t>Operations Officer</t>
  </si>
  <si>
    <t>Rakesh Kumar</t>
  </si>
  <si>
    <t>Eligible R&amp;D Activities</t>
  </si>
  <si>
    <t>R&amp;D</t>
  </si>
  <si>
    <t>Preliminary Investigation/Analysis</t>
  </si>
  <si>
    <t>Example of activities that are NOT eligible:</t>
  </si>
  <si>
    <t xml:space="preserve"> - Project Charter/Business Case</t>
  </si>
  <si>
    <t xml:space="preserve"> - Contract/commercial negotiations, including contract/agreement writing</t>
  </si>
  <si>
    <t xml:space="preserve"> - Definition of the case process and business requirements</t>
  </si>
  <si>
    <t xml:space="preserve"> - Implementation/deployment</t>
  </si>
  <si>
    <t xml:space="preserve"> - Documentation of user/functionality system requirements</t>
  </si>
  <si>
    <t xml:space="preserve"> - Solution delivery</t>
  </si>
  <si>
    <t xml:space="preserve"> - Interface design specifications</t>
  </si>
  <si>
    <t xml:space="preserve"> - Training</t>
  </si>
  <si>
    <t xml:space="preserve"> - User Support</t>
  </si>
  <si>
    <t xml:space="preserve"> - System software architecture</t>
  </si>
  <si>
    <t xml:space="preserve"> - Standard UI/ UX</t>
  </si>
  <si>
    <t xml:space="preserve"> - Technical approach/ system design</t>
  </si>
  <si>
    <t xml:space="preserve"> - Software/hardware support</t>
  </si>
  <si>
    <t xml:space="preserve"> - Troubleshooting</t>
  </si>
  <si>
    <t xml:space="preserve"> - System decomposition into components</t>
  </si>
  <si>
    <t xml:space="preserve"> - Minor/routine bug fixes</t>
  </si>
  <si>
    <t xml:space="preserve"> - Unit specification and designs </t>
  </si>
  <si>
    <t xml:space="preserve"> - System upgrade (unless this is major system upgrade with added functionalities)</t>
  </si>
  <si>
    <t xml:space="preserve"> - Development/ coding</t>
  </si>
  <si>
    <t xml:space="preserve"> - Test/validation of code</t>
  </si>
  <si>
    <t xml:space="preserve"> - Unit testing </t>
  </si>
  <si>
    <t xml:space="preserve"> - System test and System Integration Testing</t>
  </si>
  <si>
    <t xml:space="preserve"> - User Acceptance Testing</t>
  </si>
  <si>
    <t xml:space="preserve"> - Show stopper bug fix (minor bug fixes not eligible)</t>
  </si>
  <si>
    <t xml:space="preserve"> - Code re-write (iteration until version acceptance)</t>
  </si>
  <si>
    <t xml:space="preserve">Training </t>
  </si>
  <si>
    <t>Upskilling on new technology/language</t>
  </si>
  <si>
    <t>Training another team member</t>
  </si>
  <si>
    <t>Professional course</t>
  </si>
  <si>
    <t>Training a customer on fully commercial product</t>
  </si>
  <si>
    <t>Non-R&amp;D</t>
  </si>
  <si>
    <t>Bug Fixing</t>
  </si>
  <si>
    <t>Major (ie prevents the collection of data)</t>
  </si>
  <si>
    <t>Medium (reduces the usability of practera)</t>
  </si>
  <si>
    <t>Minor (cosmestic, colour, spelling)</t>
  </si>
  <si>
    <t>Software hardware support</t>
  </si>
  <si>
    <t>Developer environments</t>
  </si>
  <si>
    <t>Entirely within tech team</t>
  </si>
  <si>
    <t>Testing environments</t>
  </si>
  <si>
    <t>Staging</t>
  </si>
  <si>
    <t xml:space="preserve">demo's </t>
  </si>
  <si>
    <t xml:space="preserve">Please note Demo's refers to the 1st place non-tech team members can see new functionality </t>
  </si>
  <si>
    <t>OS support</t>
  </si>
  <si>
    <t>User Support</t>
  </si>
  <si>
    <t>Freshdesk - user errors</t>
  </si>
  <si>
    <t>Freshdesk - Serious problem</t>
  </si>
  <si>
    <t>1 July 2016 - 30 June 2017</t>
  </si>
  <si>
    <t>Timesheet</t>
  </si>
  <si>
    <t>*Timesheet provided by Suzy Watson via email on 14/08/2017</t>
  </si>
  <si>
    <t>**Total R&amp;D hours based on 40 hrs/week * 48 weeks a year</t>
  </si>
  <si>
    <t>Average</t>
  </si>
  <si>
    <t>5% minor bug fixes</t>
  </si>
  <si>
    <t>5% Minor bugs fixes</t>
  </si>
  <si>
    <t>5% Minor Bug fixes</t>
  </si>
  <si>
    <t>Rocky helped Sruajane with the below at the start of semester</t>
  </si>
  <si>
    <t>Srujana spent sometime in semesters working with student teams to understand better construction of UAT testing flowing</t>
  </si>
  <si>
    <t>5% Minor bug fixes</t>
  </si>
  <si>
    <t>Chaw and Kven largely work as team which is why their work product is comparable</t>
  </si>
  <si>
    <t xml:space="preserve">5% Minor Bug fixes </t>
  </si>
  <si>
    <t>Alvin Tolentino</t>
  </si>
  <si>
    <t>10% on non- R&amp;D activities</t>
  </si>
  <si>
    <t>Kel Vin</t>
  </si>
  <si>
    <t>Jason Davison</t>
  </si>
  <si>
    <t xml:space="preserve">COO </t>
  </si>
  <si>
    <t>Sophia Toftdahl</t>
  </si>
  <si>
    <t>Rachel Walters</t>
  </si>
  <si>
    <t>Tobias Wehr-Candler</t>
  </si>
  <si>
    <t>Irene Che</t>
  </si>
  <si>
    <t>Wenxin Che</t>
  </si>
  <si>
    <t>1 July 2023 - 30 June 2024</t>
  </si>
  <si>
    <t xml:space="preserve">Technical </t>
  </si>
  <si>
    <t>Paul Maxwell -Walters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</si>
</sst>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$&quot;* #,##0.00_-;\-&quot;$&quot;* #,##0.00_-;_-&quot;$&quot;* &quot;-&quot;??_-;_-@"/>
    <numFmt numFmtId="165" formatCode="0.0%"/>
    <numFmt numFmtId="166" formatCode="_(&quot;$&quot;* #,##0_);_(&quot;$&quot;* \(#,##0\);_(&quot;$&quot;* &quot;-&quot;??_);_(@_)"/>
    <numFmt numFmtId="167" formatCode="_-* #,##0.00_-;\-* #,##0.00_-;_-* &quot;-&quot;??_-;_-@"/>
  </numFmts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u/>
      <sz val="9"/>
      <color theme="1"/>
      <name val="Arial"/>
      <family val="2"/>
    </font>
    <font>
      <sz val="11"/>
      <name val="Calibri"/>
      <family val="2"/>
    </font>
    <font>
      <i/>
      <sz val="9"/>
      <color theme="1"/>
      <name val="Arial"/>
      <family val="2"/>
    </font>
    <font>
      <sz val="9"/>
      <color rgb="FFA5A5A5"/>
      <name val="Arial"/>
      <family val="2"/>
    </font>
    <font>
      <u/>
      <sz val="9"/>
      <color rgb="FF0563C1"/>
      <name val="Arial"/>
      <family val="2"/>
    </font>
    <font>
      <u/>
      <sz val="11"/>
      <color rgb="FF0000FF"/>
      <name val="Calibri"/>
      <family val="2"/>
    </font>
    <font>
      <sz val="12"/>
      <color theme="1"/>
      <name val="Aptos Narrow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i/>
      <sz val="9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E600"/>
        <bgColor rgb="FFFFE600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rgb="FFD8D8D8"/>
        <bgColor rgb="FFD8D8D8"/>
      </patternFill>
    </fill>
    <fill>
      <patternFill patternType="solid">
        <fgColor rgb="FFFFFFCC"/>
        <bgColor rgb="FFFFFFCC"/>
      </patternFill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2F2"/>
      </patternFill>
    </fill>
  </fills>
  <borders count="8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/>
    <xf numFmtId="17" fontId="2" fillId="2" borderId="1" xfId="0" applyNumberFormat="1" applyFont="1" applyFill="1" applyBorder="1" applyAlignment="1">
      <alignment horizontal="center" vertical="center"/>
    </xf>
    <xf numFmtId="17" fontId="2" fillId="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9" fontId="4" fillId="0" borderId="16" xfId="0" applyNumberFormat="1" applyFont="1" applyBorder="1" applyAlignment="1">
      <alignment horizontal="right" vertical="center"/>
    </xf>
    <xf numFmtId="9" fontId="4" fillId="0" borderId="17" xfId="0" applyNumberFormat="1" applyFont="1" applyBorder="1" applyAlignment="1">
      <alignment horizontal="right" vertical="center"/>
    </xf>
    <xf numFmtId="9" fontId="4" fillId="0" borderId="18" xfId="0" applyNumberFormat="1" applyFont="1" applyBorder="1" applyAlignment="1">
      <alignment horizontal="right" vertical="center"/>
    </xf>
    <xf numFmtId="9" fontId="4" fillId="0" borderId="19" xfId="0" applyNumberFormat="1" applyFont="1" applyBorder="1" applyAlignment="1">
      <alignment horizontal="right" vertical="center"/>
    </xf>
    <xf numFmtId="9" fontId="4" fillId="0" borderId="20" xfId="0" applyNumberFormat="1" applyFont="1" applyBorder="1" applyAlignment="1">
      <alignment horizontal="right" vertical="center"/>
    </xf>
    <xf numFmtId="0" fontId="8" fillId="0" borderId="21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9" fontId="4" fillId="0" borderId="22" xfId="0" applyNumberFormat="1" applyFont="1" applyBorder="1" applyAlignment="1">
      <alignment horizontal="right" vertical="center"/>
    </xf>
    <xf numFmtId="9" fontId="4" fillId="0" borderId="23" xfId="0" applyNumberFormat="1" applyFont="1" applyBorder="1" applyAlignment="1">
      <alignment horizontal="right" vertical="center"/>
    </xf>
    <xf numFmtId="0" fontId="4" fillId="0" borderId="21" xfId="0" applyFont="1" applyBorder="1" applyAlignment="1">
      <alignment horizontal="left" vertical="center" wrapText="1"/>
    </xf>
    <xf numFmtId="9" fontId="4" fillId="0" borderId="24" xfId="0" applyNumberFormat="1" applyFont="1" applyBorder="1" applyAlignment="1">
      <alignment horizontal="right" vertical="center"/>
    </xf>
    <xf numFmtId="9" fontId="4" fillId="0" borderId="25" xfId="0" applyNumberFormat="1" applyFont="1" applyBorder="1" applyAlignment="1">
      <alignment horizontal="right" vertical="center"/>
    </xf>
    <xf numFmtId="0" fontId="4" fillId="4" borderId="26" xfId="0" applyFont="1" applyFill="1" applyBorder="1"/>
    <xf numFmtId="0" fontId="4" fillId="4" borderId="27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9" fontId="4" fillId="4" borderId="29" xfId="0" applyNumberFormat="1" applyFont="1" applyFill="1" applyBorder="1" applyAlignment="1">
      <alignment horizontal="right" vertical="center" wrapText="1"/>
    </xf>
    <xf numFmtId="9" fontId="4" fillId="4" borderId="30" xfId="0" applyNumberFormat="1" applyFont="1" applyFill="1" applyBorder="1" applyAlignment="1">
      <alignment horizontal="right" vertical="center" wrapText="1"/>
    </xf>
    <xf numFmtId="0" fontId="2" fillId="5" borderId="27" xfId="0" applyFont="1" applyFill="1" applyBorder="1" applyAlignment="1">
      <alignment horizontal="left" vertical="center" wrapText="1"/>
    </xf>
    <xf numFmtId="0" fontId="2" fillId="5" borderId="28" xfId="0" applyFont="1" applyFill="1" applyBorder="1" applyAlignment="1">
      <alignment horizontal="left" vertical="center" wrapText="1"/>
    </xf>
    <xf numFmtId="9" fontId="2" fillId="5" borderId="28" xfId="0" applyNumberFormat="1" applyFont="1" applyFill="1" applyBorder="1" applyAlignment="1">
      <alignment horizontal="right" vertical="center" wrapText="1"/>
    </xf>
    <xf numFmtId="9" fontId="2" fillId="5" borderId="31" xfId="0" applyNumberFormat="1" applyFont="1" applyFill="1" applyBorder="1" applyAlignment="1">
      <alignment horizontal="right" vertical="center" wrapText="1"/>
    </xf>
    <xf numFmtId="0" fontId="2" fillId="3" borderId="32" xfId="0" applyFont="1" applyFill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9" fontId="4" fillId="0" borderId="34" xfId="0" applyNumberFormat="1" applyFont="1" applyBorder="1" applyAlignment="1">
      <alignment horizontal="right" vertical="center"/>
    </xf>
    <xf numFmtId="9" fontId="4" fillId="0" borderId="35" xfId="0" applyNumberFormat="1" applyFont="1" applyBorder="1" applyAlignment="1">
      <alignment horizontal="right" vertical="center"/>
    </xf>
    <xf numFmtId="9" fontId="4" fillId="0" borderId="36" xfId="0" applyNumberFormat="1" applyFont="1" applyBorder="1" applyAlignment="1">
      <alignment horizontal="right" vertical="center"/>
    </xf>
    <xf numFmtId="9" fontId="4" fillId="0" borderId="37" xfId="0" applyNumberFormat="1" applyFont="1" applyBorder="1" applyAlignment="1">
      <alignment horizontal="right" vertical="center"/>
    </xf>
    <xf numFmtId="9" fontId="4" fillId="0" borderId="38" xfId="0" applyNumberFormat="1" applyFont="1" applyBorder="1" applyAlignment="1">
      <alignment horizontal="right" vertical="center"/>
    </xf>
    <xf numFmtId="0" fontId="2" fillId="5" borderId="39" xfId="0" applyFont="1" applyFill="1" applyBorder="1" applyAlignment="1">
      <alignment horizontal="left" vertical="center" wrapText="1"/>
    </xf>
    <xf numFmtId="0" fontId="2" fillId="5" borderId="40" xfId="0" applyFont="1" applyFill="1" applyBorder="1" applyAlignment="1">
      <alignment horizontal="left" vertical="center" wrapText="1"/>
    </xf>
    <xf numFmtId="0" fontId="2" fillId="5" borderId="41" xfId="0" applyFont="1" applyFill="1" applyBorder="1" applyAlignment="1">
      <alignment horizontal="left" vertical="center" wrapText="1"/>
    </xf>
    <xf numFmtId="9" fontId="2" fillId="5" borderId="41" xfId="0" applyNumberFormat="1" applyFont="1" applyFill="1" applyBorder="1" applyAlignment="1">
      <alignment horizontal="right" vertical="center" wrapText="1"/>
    </xf>
    <xf numFmtId="9" fontId="2" fillId="5" borderId="42" xfId="0" applyNumberFormat="1" applyFont="1" applyFill="1" applyBorder="1" applyAlignment="1">
      <alignment horizontal="right" vertical="center" wrapText="1"/>
    </xf>
    <xf numFmtId="9" fontId="4" fillId="0" borderId="0" xfId="0" applyNumberFormat="1" applyFont="1"/>
    <xf numFmtId="9" fontId="4" fillId="0" borderId="43" xfId="0" applyNumberFormat="1" applyFont="1" applyBorder="1" applyAlignment="1">
      <alignment horizontal="right" vertical="center"/>
    </xf>
    <xf numFmtId="9" fontId="4" fillId="0" borderId="44" xfId="0" applyNumberFormat="1" applyFont="1" applyBorder="1" applyAlignment="1">
      <alignment horizontal="right" vertical="center"/>
    </xf>
    <xf numFmtId="9" fontId="4" fillId="0" borderId="15" xfId="0" applyNumberFormat="1" applyFont="1" applyBorder="1" applyAlignment="1">
      <alignment horizontal="right" vertical="center" wrapText="1"/>
    </xf>
    <xf numFmtId="9" fontId="4" fillId="0" borderId="45" xfId="0" applyNumberFormat="1" applyFont="1" applyBorder="1" applyAlignment="1">
      <alignment horizontal="right" vertical="center" wrapText="1"/>
    </xf>
    <xf numFmtId="9" fontId="4" fillId="6" borderId="46" xfId="0" applyNumberFormat="1" applyFont="1" applyFill="1" applyBorder="1" applyAlignment="1">
      <alignment horizontal="right" vertical="center"/>
    </xf>
    <xf numFmtId="9" fontId="4" fillId="6" borderId="47" xfId="0" applyNumberFormat="1" applyFont="1" applyFill="1" applyBorder="1" applyAlignment="1">
      <alignment horizontal="right" vertical="center"/>
    </xf>
    <xf numFmtId="9" fontId="4" fillId="6" borderId="48" xfId="0" applyNumberFormat="1" applyFont="1" applyFill="1" applyBorder="1" applyAlignment="1">
      <alignment horizontal="right" vertical="center"/>
    </xf>
    <xf numFmtId="9" fontId="4" fillId="6" borderId="49" xfId="0" applyNumberFormat="1" applyFont="1" applyFill="1" applyBorder="1" applyAlignment="1">
      <alignment horizontal="right" vertical="center"/>
    </xf>
    <xf numFmtId="9" fontId="4" fillId="6" borderId="22" xfId="0" applyNumberFormat="1" applyFont="1" applyFill="1" applyBorder="1" applyAlignment="1">
      <alignment horizontal="right" vertical="center"/>
    </xf>
    <xf numFmtId="9" fontId="4" fillId="6" borderId="50" xfId="0" applyNumberFormat="1" applyFont="1" applyFill="1" applyBorder="1" applyAlignment="1">
      <alignment horizontal="right" vertical="center"/>
    </xf>
    <xf numFmtId="9" fontId="4" fillId="6" borderId="51" xfId="0" applyNumberFormat="1" applyFont="1" applyFill="1" applyBorder="1" applyAlignment="1">
      <alignment horizontal="right" vertical="center"/>
    </xf>
    <xf numFmtId="9" fontId="4" fillId="6" borderId="29" xfId="0" applyNumberFormat="1" applyFont="1" applyFill="1" applyBorder="1" applyAlignment="1">
      <alignment horizontal="right" vertical="center" wrapText="1"/>
    </xf>
    <xf numFmtId="9" fontId="4" fillId="6" borderId="34" xfId="0" applyNumberFormat="1" applyFont="1" applyFill="1" applyBorder="1" applyAlignment="1">
      <alignment horizontal="right" vertical="center"/>
    </xf>
    <xf numFmtId="9" fontId="9" fillId="7" borderId="34" xfId="0" applyNumberFormat="1" applyFont="1" applyFill="1" applyBorder="1" applyAlignment="1">
      <alignment horizontal="right" vertical="center"/>
    </xf>
    <xf numFmtId="9" fontId="9" fillId="7" borderId="52" xfId="0" applyNumberFormat="1" applyFont="1" applyFill="1" applyBorder="1" applyAlignment="1">
      <alignment horizontal="right" vertical="center"/>
    </xf>
    <xf numFmtId="9" fontId="9" fillId="7" borderId="53" xfId="0" applyNumberFormat="1" applyFont="1" applyFill="1" applyBorder="1" applyAlignment="1">
      <alignment horizontal="right" vertical="center"/>
    </xf>
    <xf numFmtId="9" fontId="9" fillId="7" borderId="54" xfId="0" applyNumberFormat="1" applyFont="1" applyFill="1" applyBorder="1" applyAlignment="1">
      <alignment horizontal="right" vertical="center"/>
    </xf>
    <xf numFmtId="9" fontId="9" fillId="7" borderId="55" xfId="0" applyNumberFormat="1" applyFont="1" applyFill="1" applyBorder="1" applyAlignment="1">
      <alignment horizontal="right" vertical="center"/>
    </xf>
    <xf numFmtId="9" fontId="9" fillId="7" borderId="22" xfId="0" applyNumberFormat="1" applyFont="1" applyFill="1" applyBorder="1" applyAlignment="1">
      <alignment horizontal="right" vertical="center"/>
    </xf>
    <xf numFmtId="9" fontId="9" fillId="7" borderId="50" xfId="0" applyNumberFormat="1" applyFont="1" applyFill="1" applyBorder="1" applyAlignment="1">
      <alignment horizontal="right" vertical="center"/>
    </xf>
    <xf numFmtId="9" fontId="9" fillId="7" borderId="51" xfId="0" applyNumberFormat="1" applyFont="1" applyFill="1" applyBorder="1" applyAlignment="1">
      <alignment horizontal="right" vertical="center"/>
    </xf>
    <xf numFmtId="9" fontId="9" fillId="7" borderId="47" xfId="0" applyNumberFormat="1" applyFont="1" applyFill="1" applyBorder="1" applyAlignment="1">
      <alignment horizontal="right" vertical="center"/>
    </xf>
    <xf numFmtId="9" fontId="9" fillId="7" borderId="56" xfId="0" applyNumberFormat="1" applyFont="1" applyFill="1" applyBorder="1" applyAlignment="1">
      <alignment horizontal="right" vertical="center"/>
    </xf>
    <xf numFmtId="9" fontId="9" fillId="7" borderId="46" xfId="0" applyNumberFormat="1" applyFont="1" applyFill="1" applyBorder="1" applyAlignment="1">
      <alignment horizontal="right" vertical="center"/>
    </xf>
    <xf numFmtId="9" fontId="9" fillId="7" borderId="48" xfId="0" applyNumberFormat="1" applyFont="1" applyFill="1" applyBorder="1" applyAlignment="1">
      <alignment horizontal="right" vertical="center"/>
    </xf>
    <xf numFmtId="9" fontId="9" fillId="7" borderId="29" xfId="0" applyNumberFormat="1" applyFont="1" applyFill="1" applyBorder="1" applyAlignment="1">
      <alignment horizontal="right" vertical="center" wrapText="1"/>
    </xf>
    <xf numFmtId="9" fontId="9" fillId="7" borderId="30" xfId="0" applyNumberFormat="1" applyFont="1" applyFill="1" applyBorder="1" applyAlignment="1">
      <alignment horizontal="right" vertical="center" wrapText="1"/>
    </xf>
    <xf numFmtId="164" fontId="5" fillId="0" borderId="0" xfId="0" applyNumberFormat="1" applyFont="1"/>
    <xf numFmtId="9" fontId="2" fillId="5" borderId="39" xfId="0" applyNumberFormat="1" applyFont="1" applyFill="1" applyBorder="1" applyAlignment="1">
      <alignment horizontal="right" vertical="center" wrapText="1"/>
    </xf>
    <xf numFmtId="9" fontId="2" fillId="5" borderId="41" xfId="0" applyNumberFormat="1" applyFont="1" applyFill="1" applyBorder="1" applyAlignment="1">
      <alignment horizontal="left" vertical="center" wrapText="1"/>
    </xf>
    <xf numFmtId="9" fontId="2" fillId="5" borderId="42" xfId="0" applyNumberFormat="1" applyFont="1" applyFill="1" applyBorder="1" applyAlignment="1">
      <alignment horizontal="left" vertical="center" wrapText="1"/>
    </xf>
    <xf numFmtId="9" fontId="4" fillId="6" borderId="52" xfId="0" applyNumberFormat="1" applyFont="1" applyFill="1" applyBorder="1" applyAlignment="1">
      <alignment horizontal="right" vertical="center"/>
    </xf>
    <xf numFmtId="9" fontId="4" fillId="6" borderId="53" xfId="0" applyNumberFormat="1" applyFont="1" applyFill="1" applyBorder="1" applyAlignment="1">
      <alignment horizontal="right" vertical="center"/>
    </xf>
    <xf numFmtId="9" fontId="4" fillId="6" borderId="54" xfId="0" applyNumberFormat="1" applyFont="1" applyFill="1" applyBorder="1" applyAlignment="1">
      <alignment horizontal="right" vertical="center"/>
    </xf>
    <xf numFmtId="0" fontId="4" fillId="4" borderId="57" xfId="0" applyFont="1" applyFill="1" applyBorder="1" applyAlignment="1">
      <alignment horizontal="left" vertical="center" wrapText="1"/>
    </xf>
    <xf numFmtId="0" fontId="4" fillId="4" borderId="58" xfId="0" applyFont="1" applyFill="1" applyBorder="1" applyAlignment="1">
      <alignment horizontal="left" vertical="center" wrapText="1"/>
    </xf>
    <xf numFmtId="9" fontId="4" fillId="4" borderId="15" xfId="0" applyNumberFormat="1" applyFont="1" applyFill="1" applyBorder="1" applyAlignment="1">
      <alignment horizontal="right" vertical="center" wrapText="1"/>
    </xf>
    <xf numFmtId="0" fontId="10" fillId="4" borderId="15" xfId="0" applyFont="1" applyFill="1" applyBorder="1" applyAlignment="1">
      <alignment horizontal="right" vertical="center" wrapText="1"/>
    </xf>
    <xf numFmtId="0" fontId="4" fillId="4" borderId="15" xfId="0" applyFont="1" applyFill="1" applyBorder="1" applyAlignment="1">
      <alignment horizontal="right" vertical="center" wrapText="1"/>
    </xf>
    <xf numFmtId="0" fontId="4" fillId="4" borderId="45" xfId="0" applyFont="1" applyFill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5" fontId="12" fillId="0" borderId="0" xfId="0" applyNumberFormat="1" applyFont="1"/>
    <xf numFmtId="9" fontId="13" fillId="0" borderId="0" xfId="0" applyNumberFormat="1" applyFont="1"/>
    <xf numFmtId="15" fontId="13" fillId="0" borderId="0" xfId="0" applyNumberFormat="1" applyFont="1"/>
    <xf numFmtId="9" fontId="12" fillId="0" borderId="0" xfId="0" applyNumberFormat="1" applyFont="1"/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0" fontId="16" fillId="8" borderId="59" xfId="0" applyFont="1" applyFill="1" applyBorder="1" applyAlignment="1">
      <alignment horizontal="center" vertical="center"/>
    </xf>
    <xf numFmtId="0" fontId="17" fillId="0" borderId="0" xfId="0" applyFont="1"/>
    <xf numFmtId="0" fontId="3" fillId="0" borderId="60" xfId="0" applyFont="1" applyBorder="1" applyAlignment="1">
      <alignment horizontal="center" vertical="center"/>
    </xf>
    <xf numFmtId="0" fontId="3" fillId="8" borderId="61" xfId="0" applyFont="1" applyFill="1" applyBorder="1" applyAlignment="1">
      <alignment horizontal="center" vertical="center"/>
    </xf>
    <xf numFmtId="0" fontId="18" fillId="9" borderId="62" xfId="0" applyFont="1" applyFill="1" applyBorder="1" applyAlignment="1">
      <alignment horizontal="left" vertical="center" wrapText="1"/>
    </xf>
    <xf numFmtId="0" fontId="14" fillId="9" borderId="63" xfId="0" applyFont="1" applyFill="1" applyBorder="1"/>
    <xf numFmtId="0" fontId="14" fillId="9" borderId="64" xfId="0" applyFont="1" applyFill="1" applyBorder="1"/>
    <xf numFmtId="0" fontId="19" fillId="0" borderId="0" xfId="0" applyFont="1"/>
    <xf numFmtId="0" fontId="20" fillId="8" borderId="65" xfId="0" applyFont="1" applyFill="1" applyBorder="1" applyAlignment="1">
      <alignment horizontal="left" vertical="center" wrapText="1"/>
    </xf>
    <xf numFmtId="0" fontId="2" fillId="8" borderId="66" xfId="0" applyFont="1" applyFill="1" applyBorder="1" applyAlignment="1">
      <alignment horizontal="left" vertical="center" wrapText="1"/>
    </xf>
    <xf numFmtId="17" fontId="20" fillId="8" borderId="66" xfId="0" applyNumberFormat="1" applyFont="1" applyFill="1" applyBorder="1" applyAlignment="1">
      <alignment horizontal="center" vertical="center"/>
    </xf>
    <xf numFmtId="17" fontId="20" fillId="8" borderId="67" xfId="0" applyNumberFormat="1" applyFont="1" applyFill="1" applyBorder="1" applyAlignment="1">
      <alignment horizontal="center" vertical="center"/>
    </xf>
    <xf numFmtId="17" fontId="20" fillId="10" borderId="68" xfId="0" applyNumberFormat="1" applyFont="1" applyFill="1" applyBorder="1" applyAlignment="1">
      <alignment horizontal="center" vertical="center"/>
    </xf>
    <xf numFmtId="0" fontId="20" fillId="0" borderId="32" xfId="0" applyFont="1" applyBorder="1" applyAlignment="1">
      <alignment horizontal="left" vertical="center" wrapText="1"/>
    </xf>
    <xf numFmtId="9" fontId="14" fillId="0" borderId="34" xfId="0" applyNumberFormat="1" applyFont="1" applyBorder="1" applyAlignment="1">
      <alignment horizontal="left" vertical="center"/>
    </xf>
    <xf numFmtId="9" fontId="14" fillId="0" borderId="35" xfId="0" applyNumberFormat="1" applyFont="1" applyBorder="1" applyAlignment="1">
      <alignment horizontal="left" vertical="center"/>
    </xf>
    <xf numFmtId="9" fontId="14" fillId="0" borderId="36" xfId="0" applyNumberFormat="1" applyFont="1" applyBorder="1" applyAlignment="1">
      <alignment horizontal="left" vertical="center"/>
    </xf>
    <xf numFmtId="9" fontId="14" fillId="0" borderId="37" xfId="0" applyNumberFormat="1" applyFont="1" applyBorder="1" applyAlignment="1">
      <alignment horizontal="left" vertical="center"/>
    </xf>
    <xf numFmtId="9" fontId="14" fillId="0" borderId="36" xfId="0" applyNumberFormat="1" applyFont="1" applyBorder="1"/>
    <xf numFmtId="9" fontId="14" fillId="0" borderId="22" xfId="0" applyNumberFormat="1" applyFont="1" applyBorder="1" applyAlignment="1">
      <alignment horizontal="left" vertical="center"/>
    </xf>
    <xf numFmtId="9" fontId="14" fillId="0" borderId="24" xfId="0" applyNumberFormat="1" applyFont="1" applyBorder="1" applyAlignment="1">
      <alignment horizontal="left" vertical="center"/>
    </xf>
    <xf numFmtId="9" fontId="14" fillId="0" borderId="44" xfId="0" applyNumberFormat="1" applyFont="1" applyBorder="1" applyAlignment="1">
      <alignment horizontal="left" vertical="center"/>
    </xf>
    <xf numFmtId="9" fontId="14" fillId="0" borderId="17" xfId="0" applyNumberFormat="1" applyFont="1" applyBorder="1" applyAlignment="1">
      <alignment horizontal="left" vertical="center"/>
    </xf>
    <xf numFmtId="9" fontId="14" fillId="0" borderId="44" xfId="0" applyNumberFormat="1" applyFont="1" applyBorder="1"/>
    <xf numFmtId="0" fontId="14" fillId="0" borderId="21" xfId="0" applyFont="1" applyBorder="1" applyAlignment="1">
      <alignment horizontal="left" vertical="center" wrapText="1"/>
    </xf>
    <xf numFmtId="9" fontId="14" fillId="0" borderId="16" xfId="0" applyNumberFormat="1" applyFont="1" applyBorder="1" applyAlignment="1">
      <alignment horizontal="left" vertical="center"/>
    </xf>
    <xf numFmtId="9" fontId="14" fillId="0" borderId="18" xfId="0" applyNumberFormat="1" applyFont="1" applyBorder="1" applyAlignment="1">
      <alignment horizontal="left" vertical="center"/>
    </xf>
    <xf numFmtId="0" fontId="14" fillId="4" borderId="26" xfId="0" applyFont="1" applyFill="1" applyBorder="1"/>
    <xf numFmtId="0" fontId="14" fillId="4" borderId="21" xfId="0" applyFont="1" applyFill="1" applyBorder="1" applyAlignment="1">
      <alignment horizontal="left" vertical="center" wrapText="1"/>
    </xf>
    <xf numFmtId="9" fontId="14" fillId="4" borderId="29" xfId="0" applyNumberFormat="1" applyFont="1" applyFill="1" applyBorder="1" applyAlignment="1">
      <alignment horizontal="left" vertical="center" wrapText="1"/>
    </xf>
    <xf numFmtId="9" fontId="14" fillId="4" borderId="30" xfId="0" applyNumberFormat="1" applyFont="1" applyFill="1" applyBorder="1" applyAlignment="1">
      <alignment horizontal="left" vertical="center" wrapText="1"/>
    </xf>
    <xf numFmtId="9" fontId="14" fillId="0" borderId="69" xfId="0" applyNumberFormat="1" applyFont="1" applyBorder="1"/>
    <xf numFmtId="0" fontId="20" fillId="4" borderId="39" xfId="0" applyFont="1" applyFill="1" applyBorder="1" applyAlignment="1">
      <alignment horizontal="left" vertical="center" wrapText="1"/>
    </xf>
    <xf numFmtId="0" fontId="2" fillId="4" borderId="41" xfId="0" applyFont="1" applyFill="1" applyBorder="1" applyAlignment="1">
      <alignment horizontal="left" vertical="center" wrapText="1"/>
    </xf>
    <xf numFmtId="9" fontId="20" fillId="4" borderId="41" xfId="0" applyNumberFormat="1" applyFont="1" applyFill="1" applyBorder="1" applyAlignment="1">
      <alignment horizontal="right" vertical="center" wrapText="1"/>
    </xf>
    <xf numFmtId="9" fontId="14" fillId="4" borderId="40" xfId="0" applyNumberFormat="1" applyFont="1" applyFill="1" applyBorder="1"/>
    <xf numFmtId="165" fontId="14" fillId="0" borderId="35" xfId="0" applyNumberFormat="1" applyFont="1" applyBorder="1" applyAlignment="1">
      <alignment horizontal="left" vertical="center"/>
    </xf>
    <xf numFmtId="0" fontId="19" fillId="0" borderId="21" xfId="0" applyFont="1" applyBorder="1" applyAlignment="1">
      <alignment horizontal="left" vertical="center" wrapText="1"/>
    </xf>
    <xf numFmtId="165" fontId="14" fillId="0" borderId="24" xfId="0" applyNumberFormat="1" applyFont="1" applyBorder="1" applyAlignment="1">
      <alignment horizontal="left" vertical="center"/>
    </xf>
    <xf numFmtId="0" fontId="20" fillId="0" borderId="21" xfId="0" applyFont="1" applyBorder="1" applyAlignment="1">
      <alignment horizontal="left" vertical="center" wrapText="1"/>
    </xf>
    <xf numFmtId="0" fontId="21" fillId="0" borderId="70" xfId="0" applyFont="1" applyBorder="1"/>
    <xf numFmtId="9" fontId="14" fillId="0" borderId="43" xfId="0" applyNumberFormat="1" applyFont="1" applyBorder="1" applyAlignment="1">
      <alignment horizontal="left" vertical="center"/>
    </xf>
    <xf numFmtId="9" fontId="14" fillId="0" borderId="25" xfId="0" applyNumberFormat="1" applyFont="1" applyBorder="1" applyAlignment="1">
      <alignment horizontal="left" vertical="center"/>
    </xf>
    <xf numFmtId="0" fontId="14" fillId="4" borderId="39" xfId="0" applyFont="1" applyFill="1" applyBorder="1" applyAlignment="1">
      <alignment horizontal="left" vertical="center" wrapText="1"/>
    </xf>
    <xf numFmtId="0" fontId="20" fillId="0" borderId="71" xfId="0" applyFont="1" applyBorder="1" applyAlignment="1">
      <alignment horizontal="left" vertical="center" wrapText="1"/>
    </xf>
    <xf numFmtId="9" fontId="14" fillId="0" borderId="16" xfId="0" applyNumberFormat="1" applyFont="1" applyBorder="1" applyAlignment="1">
      <alignment horizontal="left" vertical="center" wrapText="1"/>
    </xf>
    <xf numFmtId="9" fontId="14" fillId="0" borderId="16" xfId="0" applyNumberFormat="1" applyFont="1" applyBorder="1" applyAlignment="1">
      <alignment horizontal="center" vertical="center"/>
    </xf>
    <xf numFmtId="9" fontId="14" fillId="0" borderId="18" xfId="0" applyNumberFormat="1" applyFont="1" applyBorder="1"/>
    <xf numFmtId="0" fontId="14" fillId="4" borderId="27" xfId="0" applyFont="1" applyFill="1" applyBorder="1" applyAlignment="1">
      <alignment horizontal="left" vertical="center" wrapText="1"/>
    </xf>
    <xf numFmtId="0" fontId="2" fillId="4" borderId="28" xfId="0" applyFont="1" applyFill="1" applyBorder="1" applyAlignment="1">
      <alignment horizontal="left" vertical="center" wrapText="1"/>
    </xf>
    <xf numFmtId="9" fontId="20" fillId="4" borderId="28" xfId="0" applyNumberFormat="1" applyFont="1" applyFill="1" applyBorder="1" applyAlignment="1">
      <alignment horizontal="right" vertical="center" wrapText="1"/>
    </xf>
    <xf numFmtId="9" fontId="14" fillId="0" borderId="34" xfId="0" applyNumberFormat="1" applyFont="1" applyBorder="1" applyAlignment="1">
      <alignment horizontal="left" vertical="center" wrapText="1"/>
    </xf>
    <xf numFmtId="9" fontId="14" fillId="0" borderId="34" xfId="0" applyNumberFormat="1" applyFont="1" applyBorder="1" applyAlignment="1">
      <alignment horizontal="center" vertical="center"/>
    </xf>
    <xf numFmtId="9" fontId="14" fillId="5" borderId="34" xfId="0" applyNumberFormat="1" applyFont="1" applyFill="1" applyBorder="1" applyAlignment="1">
      <alignment horizontal="left" vertical="center"/>
    </xf>
    <xf numFmtId="9" fontId="14" fillId="5" borderId="43" xfId="0" applyNumberFormat="1" applyFont="1" applyFill="1" applyBorder="1" applyAlignment="1">
      <alignment horizontal="left" vertical="center"/>
    </xf>
    <xf numFmtId="9" fontId="14" fillId="5" borderId="46" xfId="0" applyNumberFormat="1" applyFont="1" applyFill="1" applyBorder="1" applyAlignment="1">
      <alignment horizontal="left" vertical="center"/>
    </xf>
    <xf numFmtId="9" fontId="14" fillId="5" borderId="56" xfId="0" applyNumberFormat="1" applyFont="1" applyFill="1" applyBorder="1" applyAlignment="1">
      <alignment horizontal="left" vertical="center"/>
    </xf>
    <xf numFmtId="9" fontId="14" fillId="0" borderId="72" xfId="0" applyNumberFormat="1" applyFont="1" applyBorder="1"/>
    <xf numFmtId="9" fontId="14" fillId="0" borderId="17" xfId="0" applyNumberFormat="1" applyFont="1" applyBorder="1" applyAlignment="1">
      <alignment horizontal="left" vertical="center" wrapText="1"/>
    </xf>
    <xf numFmtId="9" fontId="14" fillId="5" borderId="46" xfId="0" applyNumberFormat="1" applyFont="1" applyFill="1" applyBorder="1" applyAlignment="1">
      <alignment horizontal="left" vertical="center" wrapText="1"/>
    </xf>
    <xf numFmtId="9" fontId="14" fillId="5" borderId="56" xfId="0" applyNumberFormat="1" applyFont="1" applyFill="1" applyBorder="1" applyAlignment="1">
      <alignment horizontal="left" vertical="center" wrapText="1"/>
    </xf>
    <xf numFmtId="9" fontId="14" fillId="0" borderId="25" xfId="0" applyNumberFormat="1" applyFont="1" applyBorder="1" applyAlignment="1">
      <alignment horizontal="left" vertical="center" wrapText="1"/>
    </xf>
    <xf numFmtId="166" fontId="3" fillId="0" borderId="0" xfId="0" applyNumberFormat="1" applyFont="1"/>
    <xf numFmtId="9" fontId="14" fillId="0" borderId="73" xfId="0" applyNumberFormat="1" applyFont="1" applyBorder="1"/>
    <xf numFmtId="9" fontId="14" fillId="11" borderId="29" xfId="0" applyNumberFormat="1" applyFont="1" applyFill="1" applyBorder="1" applyAlignment="1">
      <alignment horizontal="left" vertical="center" wrapText="1"/>
    </xf>
    <xf numFmtId="9" fontId="14" fillId="5" borderId="29" xfId="0" applyNumberFormat="1" applyFont="1" applyFill="1" applyBorder="1" applyAlignment="1">
      <alignment horizontal="left" vertical="center" wrapText="1"/>
    </xf>
    <xf numFmtId="9" fontId="14" fillId="5" borderId="30" xfId="0" applyNumberFormat="1" applyFont="1" applyFill="1" applyBorder="1" applyAlignment="1">
      <alignment horizontal="left" vertical="center" wrapText="1"/>
    </xf>
    <xf numFmtId="9" fontId="14" fillId="5" borderId="52" xfId="0" applyNumberFormat="1" applyFont="1" applyFill="1" applyBorder="1" applyAlignment="1">
      <alignment horizontal="left" vertical="center"/>
    </xf>
    <xf numFmtId="9" fontId="14" fillId="5" borderId="34" xfId="0" applyNumberFormat="1" applyFont="1" applyFill="1" applyBorder="1" applyAlignment="1">
      <alignment horizontal="left" vertical="center" wrapText="1"/>
    </xf>
    <xf numFmtId="9" fontId="14" fillId="5" borderId="34" xfId="0" applyNumberFormat="1" applyFont="1" applyFill="1" applyBorder="1" applyAlignment="1">
      <alignment horizontal="center" vertical="center"/>
    </xf>
    <xf numFmtId="9" fontId="14" fillId="5" borderId="47" xfId="0" applyNumberFormat="1" applyFont="1" applyFill="1" applyBorder="1" applyAlignment="1">
      <alignment horizontal="left" vertical="center"/>
    </xf>
    <xf numFmtId="9" fontId="14" fillId="5" borderId="46" xfId="0" applyNumberFormat="1" applyFont="1" applyFill="1" applyBorder="1" applyAlignment="1">
      <alignment horizontal="center" vertical="center"/>
    </xf>
    <xf numFmtId="0" fontId="14" fillId="0" borderId="19" xfId="0" applyFont="1" applyBorder="1"/>
    <xf numFmtId="0" fontId="14" fillId="4" borderId="14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14" fillId="4" borderId="7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9" fontId="20" fillId="4" borderId="1" xfId="0" applyNumberFormat="1" applyFont="1" applyFill="1" applyBorder="1" applyAlignment="1">
      <alignment horizontal="right" vertical="center" wrapText="1"/>
    </xf>
    <xf numFmtId="0" fontId="14" fillId="0" borderId="57" xfId="0" applyFont="1" applyBorder="1" applyAlignment="1">
      <alignment horizontal="left" vertical="center" wrapText="1"/>
    </xf>
    <xf numFmtId="0" fontId="4" fillId="0" borderId="58" xfId="0" applyFont="1" applyBorder="1" applyAlignment="1">
      <alignment horizontal="left" vertical="center" wrapText="1"/>
    </xf>
    <xf numFmtId="9" fontId="14" fillId="0" borderId="22" xfId="0" applyNumberFormat="1" applyFont="1" applyBorder="1" applyAlignment="1">
      <alignment horizontal="left" vertical="center" wrapText="1"/>
    </xf>
    <xf numFmtId="9" fontId="14" fillId="0" borderId="22" xfId="0" applyNumberFormat="1" applyFont="1" applyBorder="1" applyAlignment="1">
      <alignment horizontal="center" vertical="center"/>
    </xf>
    <xf numFmtId="9" fontId="14" fillId="0" borderId="23" xfId="0" applyNumberFormat="1" applyFont="1" applyBorder="1" applyAlignment="1">
      <alignment horizontal="left" vertical="center"/>
    </xf>
    <xf numFmtId="9" fontId="14" fillId="5" borderId="22" xfId="0" applyNumberFormat="1" applyFont="1" applyFill="1" applyBorder="1" applyAlignment="1">
      <alignment horizontal="left" vertical="center" wrapText="1"/>
    </xf>
    <xf numFmtId="9" fontId="14" fillId="5" borderId="22" xfId="0" applyNumberFormat="1" applyFont="1" applyFill="1" applyBorder="1" applyAlignment="1">
      <alignment horizontal="center" vertical="center"/>
    </xf>
    <xf numFmtId="9" fontId="14" fillId="5" borderId="22" xfId="0" applyNumberFormat="1" applyFont="1" applyFill="1" applyBorder="1" applyAlignment="1">
      <alignment horizontal="left" vertical="center"/>
    </xf>
    <xf numFmtId="9" fontId="14" fillId="0" borderId="43" xfId="0" applyNumberFormat="1" applyFont="1" applyBorder="1" applyAlignment="1">
      <alignment horizontal="left" vertical="center" wrapText="1"/>
    </xf>
    <xf numFmtId="9" fontId="20" fillId="4" borderId="40" xfId="0" applyNumberFormat="1" applyFont="1" applyFill="1" applyBorder="1" applyAlignment="1">
      <alignment horizontal="right" vertical="center" wrapText="1"/>
    </xf>
    <xf numFmtId="0" fontId="20" fillId="0" borderId="0" xfId="0" applyFont="1"/>
    <xf numFmtId="167" fontId="4" fillId="0" borderId="0" xfId="0" applyNumberFormat="1" applyFont="1"/>
    <xf numFmtId="0" fontId="22" fillId="12" borderId="59" xfId="0" applyFont="1" applyFill="1" applyBorder="1" applyAlignment="1">
      <alignment horizontal="center" vertical="center"/>
    </xf>
    <xf numFmtId="0" fontId="3" fillId="12" borderId="61" xfId="0" applyFont="1" applyFill="1" applyBorder="1" applyAlignment="1">
      <alignment horizontal="center" vertical="center"/>
    </xf>
    <xf numFmtId="0" fontId="20" fillId="10" borderId="65" xfId="0" applyFont="1" applyFill="1" applyBorder="1" applyAlignment="1">
      <alignment horizontal="left" vertical="center" wrapText="1"/>
    </xf>
    <xf numFmtId="0" fontId="2" fillId="10" borderId="66" xfId="0" applyFont="1" applyFill="1" applyBorder="1" applyAlignment="1">
      <alignment horizontal="left" vertical="center" wrapText="1"/>
    </xf>
    <xf numFmtId="17" fontId="20" fillId="10" borderId="66" xfId="0" applyNumberFormat="1" applyFont="1" applyFill="1" applyBorder="1" applyAlignment="1">
      <alignment horizontal="center" vertical="center"/>
    </xf>
    <xf numFmtId="17" fontId="20" fillId="10" borderId="75" xfId="0" applyNumberFormat="1" applyFont="1" applyFill="1" applyBorder="1" applyAlignment="1">
      <alignment horizontal="center" vertical="center"/>
    </xf>
    <xf numFmtId="17" fontId="20" fillId="10" borderId="76" xfId="0" applyNumberFormat="1" applyFont="1" applyFill="1" applyBorder="1" applyAlignment="1">
      <alignment horizontal="center" vertical="center"/>
    </xf>
    <xf numFmtId="0" fontId="14" fillId="0" borderId="77" xfId="0" applyFont="1" applyBorder="1"/>
    <xf numFmtId="9" fontId="14" fillId="0" borderId="34" xfId="0" applyNumberFormat="1" applyFont="1" applyBorder="1"/>
    <xf numFmtId="9" fontId="14" fillId="0" borderId="22" xfId="0" applyNumberFormat="1" applyFont="1" applyBorder="1"/>
    <xf numFmtId="9" fontId="20" fillId="4" borderId="78" xfId="0" applyNumberFormat="1" applyFont="1" applyFill="1" applyBorder="1" applyAlignment="1">
      <alignment horizontal="right" vertical="center" wrapText="1"/>
    </xf>
    <xf numFmtId="9" fontId="14" fillId="4" borderId="41" xfId="0" applyNumberFormat="1" applyFont="1" applyFill="1" applyBorder="1"/>
    <xf numFmtId="9" fontId="14" fillId="4" borderId="79" xfId="0" applyNumberFormat="1" applyFont="1" applyFill="1" applyBorder="1"/>
    <xf numFmtId="165" fontId="14" fillId="0" borderId="34" xfId="0" applyNumberFormat="1" applyFont="1" applyBorder="1" applyAlignment="1">
      <alignment horizontal="left" vertical="center" wrapText="1"/>
    </xf>
    <xf numFmtId="165" fontId="14" fillId="0" borderId="34" xfId="0" applyNumberFormat="1" applyFont="1" applyBorder="1" applyAlignment="1">
      <alignment horizontal="center" vertical="center"/>
    </xf>
    <xf numFmtId="165" fontId="14" fillId="0" borderId="34" xfId="0" applyNumberFormat="1" applyFont="1" applyBorder="1" applyAlignment="1">
      <alignment horizontal="left" vertical="center"/>
    </xf>
    <xf numFmtId="165" fontId="14" fillId="0" borderId="22" xfId="0" applyNumberFormat="1" applyFont="1" applyBorder="1" applyAlignment="1">
      <alignment horizontal="left" vertical="center" wrapText="1"/>
    </xf>
    <xf numFmtId="165" fontId="14" fillId="0" borderId="22" xfId="0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left" vertical="center"/>
    </xf>
    <xf numFmtId="0" fontId="14" fillId="4" borderId="79" xfId="0" applyFont="1" applyFill="1" applyBorder="1"/>
    <xf numFmtId="9" fontId="14" fillId="0" borderId="16" xfId="0" applyNumberFormat="1" applyFont="1" applyBorder="1"/>
    <xf numFmtId="9" fontId="20" fillId="4" borderId="80" xfId="0" applyNumberFormat="1" applyFont="1" applyFill="1" applyBorder="1" applyAlignment="1">
      <alignment horizontal="right" vertical="center" wrapText="1"/>
    </xf>
    <xf numFmtId="9" fontId="14" fillId="0" borderId="58" xfId="0" applyNumberFormat="1" applyFont="1" applyBorder="1"/>
    <xf numFmtId="9" fontId="14" fillId="0" borderId="41" xfId="0" applyNumberFormat="1" applyFont="1" applyBorder="1"/>
    <xf numFmtId="0" fontId="14" fillId="0" borderId="81" xfId="0" applyFont="1" applyBorder="1"/>
    <xf numFmtId="9" fontId="14" fillId="5" borderId="29" xfId="0" applyNumberFormat="1" applyFont="1" applyFill="1" applyBorder="1" applyAlignment="1">
      <alignment horizontal="center" vertical="center"/>
    </xf>
    <xf numFmtId="9" fontId="14" fillId="5" borderId="29" xfId="0" applyNumberFormat="1" applyFont="1" applyFill="1" applyBorder="1" applyAlignment="1">
      <alignment horizontal="left" vertical="center"/>
    </xf>
    <xf numFmtId="9" fontId="14" fillId="0" borderId="82" xfId="0" applyNumberFormat="1" applyFont="1" applyBorder="1" applyAlignment="1">
      <alignment horizontal="left" vertical="center"/>
    </xf>
    <xf numFmtId="9" fontId="20" fillId="4" borderId="83" xfId="0" applyNumberFormat="1" applyFont="1" applyFill="1" applyBorder="1" applyAlignment="1">
      <alignment horizontal="right" vertical="center" wrapText="1"/>
    </xf>
    <xf numFmtId="9" fontId="14" fillId="0" borderId="15" xfId="0" applyNumberFormat="1" applyFont="1" applyBorder="1" applyAlignment="1">
      <alignment horizontal="left" vertical="center" wrapText="1"/>
    </xf>
    <xf numFmtId="9" fontId="14" fillId="0" borderId="15" xfId="0" applyNumberFormat="1" applyFont="1" applyBorder="1" applyAlignment="1">
      <alignment horizontal="center" vertical="center"/>
    </xf>
    <xf numFmtId="9" fontId="14" fillId="0" borderId="15" xfId="0" applyNumberFormat="1" applyFont="1" applyBorder="1" applyAlignment="1">
      <alignment horizontal="left" vertical="center"/>
    </xf>
    <xf numFmtId="9" fontId="14" fillId="5" borderId="84" xfId="0" applyNumberFormat="1" applyFont="1" applyFill="1" applyBorder="1" applyAlignment="1">
      <alignment horizontal="left" vertical="center"/>
    </xf>
    <xf numFmtId="9" fontId="14" fillId="5" borderId="52" xfId="0" applyNumberFormat="1" applyFont="1" applyFill="1" applyBorder="1" applyAlignment="1">
      <alignment horizontal="left" vertical="center" wrapText="1"/>
    </xf>
    <xf numFmtId="9" fontId="14" fillId="5" borderId="47" xfId="0" applyNumberFormat="1" applyFont="1" applyFill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 wrapText="1"/>
    </xf>
    <xf numFmtId="0" fontId="7" fillId="0" borderId="15" xfId="0" applyFont="1" applyBorder="1"/>
    <xf numFmtId="0" fontId="7" fillId="0" borderId="16" xfId="0" applyFont="1" applyBorder="1"/>
    <xf numFmtId="0" fontId="6" fillId="2" borderId="3" xfId="0" applyFont="1" applyFill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8" xfId="0" applyFont="1" applyBorder="1"/>
    <xf numFmtId="0" fontId="4" fillId="2" borderId="9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1" xfId="0" applyFont="1" applyBorder="1"/>
    <xf numFmtId="0" fontId="2" fillId="0" borderId="15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 vertical="center" wrapText="1"/>
    </xf>
    <xf numFmtId="0" fontId="7" fillId="0" borderId="44" xfId="0" applyFont="1" applyBorder="1"/>
    <xf numFmtId="0" fontId="14" fillId="0" borderId="0" xfId="0" applyFont="1" applyAlignment="1">
      <alignment horizontal="left" vertical="center" wrapText="1"/>
    </xf>
    <xf numFmtId="0" fontId="0" fillId="0" borderId="0" xfId="0"/>
    <xf numFmtId="0" fontId="20" fillId="10" borderId="24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20" fillId="0" borderId="24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9" fontId="4" fillId="13" borderId="34" xfId="0" applyNumberFormat="1" applyFont="1" applyFill="1" applyBorder="1" applyAlignment="1">
      <alignment horizontal="right" vertical="center"/>
    </xf>
    <xf numFmtId="9" fontId="4" fillId="13" borderId="43" xfId="0" applyNumberFormat="1" applyFont="1" applyFill="1" applyBorder="1" applyAlignment="1">
      <alignment horizontal="right" vertical="center"/>
    </xf>
    <xf numFmtId="9" fontId="4" fillId="13" borderId="22" xfId="0" applyNumberFormat="1" applyFont="1" applyFill="1" applyBorder="1" applyAlignment="1">
      <alignment horizontal="right" vertical="center"/>
    </xf>
    <xf numFmtId="9" fontId="4" fillId="13" borderId="23" xfId="0" applyNumberFormat="1" applyFont="1" applyFill="1" applyBorder="1" applyAlignment="1">
      <alignment horizontal="right" vertical="center"/>
    </xf>
    <xf numFmtId="9" fontId="4" fillId="13" borderId="16" xfId="0" applyNumberFormat="1" applyFont="1" applyFill="1" applyBorder="1" applyAlignment="1">
      <alignment horizontal="right" vertical="center"/>
    </xf>
    <xf numFmtId="9" fontId="4" fillId="13" borderId="18" xfId="0" applyNumberFormat="1" applyFont="1" applyFill="1" applyBorder="1" applyAlignment="1">
      <alignment horizontal="right" vertical="center"/>
    </xf>
    <xf numFmtId="9" fontId="4" fillId="13" borderId="17" xfId="0" applyNumberFormat="1" applyFont="1" applyFill="1" applyBorder="1" applyAlignment="1">
      <alignment horizontal="right" vertical="center"/>
    </xf>
    <xf numFmtId="9" fontId="4" fillId="13" borderId="25" xfId="0" applyNumberFormat="1" applyFont="1" applyFill="1" applyBorder="1" applyAlignment="1">
      <alignment horizontal="right" vertical="center"/>
    </xf>
    <xf numFmtId="9" fontId="4" fillId="14" borderId="29" xfId="0" applyNumberFormat="1" applyFont="1" applyFill="1" applyBorder="1" applyAlignment="1">
      <alignment horizontal="right" vertical="center" wrapText="1"/>
    </xf>
    <xf numFmtId="9" fontId="4" fillId="14" borderId="30" xfId="0" applyNumberFormat="1" applyFont="1" applyFill="1" applyBorder="1" applyAlignment="1">
      <alignment horizontal="right" vertical="center" wrapText="1"/>
    </xf>
    <xf numFmtId="0" fontId="4" fillId="0" borderId="50" xfId="0" applyFont="1" applyBorder="1" applyAlignment="1">
      <alignment horizontal="left" vertical="center" wrapText="1"/>
    </xf>
    <xf numFmtId="9" fontId="4" fillId="0" borderId="51" xfId="0" applyNumberFormat="1" applyFont="1" applyBorder="1" applyAlignment="1">
      <alignment horizontal="right" vertical="center"/>
    </xf>
    <xf numFmtId="9" fontId="4" fillId="0" borderId="66" xfId="0" applyNumberFormat="1" applyFont="1" applyBorder="1" applyAlignment="1">
      <alignment horizontal="right" vertical="center"/>
    </xf>
    <xf numFmtId="9" fontId="4" fillId="0" borderId="46" xfId="0" applyNumberFormat="1" applyFont="1" applyBorder="1" applyAlignment="1">
      <alignment horizontal="right" vertical="center"/>
    </xf>
    <xf numFmtId="9" fontId="4" fillId="0" borderId="85" xfId="0" applyNumberFormat="1" applyFont="1" applyBorder="1" applyAlignment="1">
      <alignment horizontal="right" vertical="center"/>
    </xf>
    <xf numFmtId="0" fontId="4" fillId="0" borderId="52" xfId="0" applyFont="1" applyBorder="1" applyAlignment="1">
      <alignment horizontal="left" vertical="center" wrapText="1"/>
    </xf>
    <xf numFmtId="9" fontId="2" fillId="0" borderId="28" xfId="0" applyNumberFormat="1" applyFont="1" applyFill="1" applyBorder="1" applyAlignment="1">
      <alignment horizontal="right" vertical="center" wrapText="1"/>
    </xf>
    <xf numFmtId="9" fontId="2" fillId="0" borderId="2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516"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  <dxf>
      <font>
        <b/>
      </font>
      <fill>
        <patternFill patternType="solid">
          <fgColor rgb="FFFBE4D5"/>
          <bgColor rgb="FFFBE4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intersective.atlassian.net/browse/CORE-5785" TargetMode="External"/><Relationship Id="rId2" Type="http://schemas.openxmlformats.org/officeDocument/2006/relationships/hyperlink" Target="https://docs.google.com/presentation/d/1jCCpx5sPGwVdF8mSBuip1KkT9sNUjp9KKSHMqF4GdrQ/edit" TargetMode="External"/><Relationship Id="rId1" Type="http://schemas.openxmlformats.org/officeDocument/2006/relationships/hyperlink" Target="https://docs.google.com/document/d/17Pz9rMTpKA39edZ-gUl3NTAvyt9gHWIuXLguAnZBxDw/edit" TargetMode="External"/><Relationship Id="rId4" Type="http://schemas.openxmlformats.org/officeDocument/2006/relationships/hyperlink" Target="https://intersective.atlassian.net/browse/CORE-578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3" sqref="B3:Q3"/>
    </sheetView>
  </sheetViews>
  <sheetFormatPr baseColWidth="10" defaultColWidth="14.5" defaultRowHeight="15" customHeight="1" x14ac:dyDescent="0.2"/>
  <cols>
    <col min="1" max="1" width="3.83203125" customWidth="1"/>
    <col min="2" max="2" width="28.6640625" customWidth="1"/>
    <col min="3" max="4" width="14.6640625" customWidth="1"/>
    <col min="5" max="5" width="40.6640625" customWidth="1"/>
    <col min="6" max="8" width="8.6640625" customWidth="1"/>
    <col min="9" max="17" width="8.83203125" customWidth="1"/>
    <col min="18" max="26" width="8.6640625" customWidth="1"/>
  </cols>
  <sheetData>
    <row r="1" spans="1:26" ht="12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">
      <c r="A2" s="4"/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">
      <c r="A3" s="4"/>
      <c r="B3" s="229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 x14ac:dyDescent="0.2">
      <c r="A4" s="4"/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 x14ac:dyDescent="0.2">
      <c r="A5" s="4"/>
      <c r="B5" s="232" t="s">
        <v>3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 x14ac:dyDescent="0.2">
      <c r="A6" s="4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spans="1:26" ht="63.75" customHeight="1" x14ac:dyDescent="0.2">
      <c r="A7" s="4"/>
      <c r="B7" s="8" t="s">
        <v>4</v>
      </c>
      <c r="C7" s="9" t="s">
        <v>5</v>
      </c>
      <c r="D7" s="9" t="s">
        <v>6</v>
      </c>
      <c r="E7" s="10"/>
      <c r="F7" s="2">
        <v>44743</v>
      </c>
      <c r="G7" s="2">
        <v>44774</v>
      </c>
      <c r="H7" s="2">
        <v>44805</v>
      </c>
      <c r="I7" s="2">
        <v>44835</v>
      </c>
      <c r="J7" s="2">
        <v>44866</v>
      </c>
      <c r="K7" s="2">
        <v>44896</v>
      </c>
      <c r="L7" s="2">
        <v>44927</v>
      </c>
      <c r="M7" s="2">
        <v>44958</v>
      </c>
      <c r="N7" s="2">
        <v>44986</v>
      </c>
      <c r="O7" s="2">
        <v>45017</v>
      </c>
      <c r="P7" s="2">
        <v>45047</v>
      </c>
      <c r="Q7" s="3">
        <v>45078</v>
      </c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 x14ac:dyDescent="0.2">
      <c r="A8" s="4"/>
      <c r="B8" s="11" t="s">
        <v>7</v>
      </c>
      <c r="C8" s="235" t="s">
        <v>8</v>
      </c>
      <c r="D8" s="235" t="s">
        <v>8</v>
      </c>
      <c r="E8" s="13" t="s">
        <v>9</v>
      </c>
      <c r="F8" s="14"/>
      <c r="G8" s="14"/>
      <c r="H8" s="15"/>
      <c r="I8" s="14"/>
      <c r="J8" s="16"/>
      <c r="K8" s="17"/>
      <c r="L8" s="14"/>
      <c r="M8" s="16"/>
      <c r="N8" s="17"/>
      <c r="O8" s="14"/>
      <c r="P8" s="16"/>
      <c r="Q8" s="18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 x14ac:dyDescent="0.2">
      <c r="A9" s="4"/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 x14ac:dyDescent="0.2">
      <c r="A10" s="4"/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x14ac:dyDescent="0.2">
      <c r="A11" s="4"/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x14ac:dyDescent="0.2">
      <c r="A12" s="4"/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 x14ac:dyDescent="0.2">
      <c r="A13" s="4"/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 x14ac:dyDescent="0.2">
      <c r="A14" s="4"/>
      <c r="B14" s="23"/>
      <c r="C14" s="224"/>
      <c r="D14" s="224"/>
      <c r="E14" s="20" t="s">
        <v>16</v>
      </c>
      <c r="F14" s="21">
        <v>0.05</v>
      </c>
      <c r="G14" s="21"/>
      <c r="H14" s="24"/>
      <c r="I14" s="14"/>
      <c r="J14" s="16"/>
      <c r="K14" s="15"/>
      <c r="L14" s="14"/>
      <c r="M14" s="16"/>
      <c r="N14" s="15"/>
      <c r="O14" s="14"/>
      <c r="P14" s="16"/>
      <c r="Q14" s="2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 x14ac:dyDescent="0.2">
      <c r="A15" s="26"/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 x14ac:dyDescent="0.2">
      <c r="A16" s="4"/>
      <c r="B16" s="31" t="str">
        <f>B8</f>
        <v>Beau Leese</v>
      </c>
      <c r="C16" s="32"/>
      <c r="D16" s="32"/>
      <c r="E16" s="32" t="s">
        <v>18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 x14ac:dyDescent="0.2">
      <c r="A17" s="4"/>
      <c r="B17" s="35" t="s">
        <v>19</v>
      </c>
      <c r="C17" s="223" t="s">
        <v>8</v>
      </c>
      <c r="D17" s="223" t="s">
        <v>8</v>
      </c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 x14ac:dyDescent="0.2">
      <c r="A18" s="4"/>
      <c r="B18" s="19" t="s">
        <v>20</v>
      </c>
      <c r="C18" s="224"/>
      <c r="D18" s="224"/>
      <c r="E18" s="20" t="s">
        <v>11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 x14ac:dyDescent="0.2">
      <c r="A19" s="4"/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 x14ac:dyDescent="0.2">
      <c r="A20" s="4"/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 x14ac:dyDescent="0.2">
      <c r="A21" s="4"/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 x14ac:dyDescent="0.2">
      <c r="A22" s="4"/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 x14ac:dyDescent="0.2">
      <c r="A23" s="4"/>
      <c r="B23" s="23"/>
      <c r="C23" s="224"/>
      <c r="D23" s="224"/>
      <c r="E23" s="20" t="s">
        <v>16</v>
      </c>
      <c r="F23" s="21">
        <v>0.27</v>
      </c>
      <c r="G23" s="21">
        <v>0.27</v>
      </c>
      <c r="H23" s="21"/>
      <c r="I23" s="21"/>
      <c r="J23" s="21"/>
      <c r="K23" s="21"/>
      <c r="L23" s="21"/>
      <c r="M23" s="21"/>
      <c r="N23" s="21"/>
      <c r="O23" s="21"/>
      <c r="P23" s="21"/>
      <c r="Q23" s="22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 x14ac:dyDescent="0.2">
      <c r="A24" s="26"/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 x14ac:dyDescent="0.2">
      <c r="A25" s="4"/>
      <c r="B25" s="42" t="str">
        <f>B17</f>
        <v>Suzy Watson</v>
      </c>
      <c r="C25" s="43"/>
      <c r="D25" s="43"/>
      <c r="E25" s="44" t="s">
        <v>18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 x14ac:dyDescent="0.2">
      <c r="A26" s="4"/>
      <c r="B26" s="35" t="s">
        <v>21</v>
      </c>
      <c r="C26" s="223" t="s">
        <v>8</v>
      </c>
      <c r="D26" s="223" t="s">
        <v>8</v>
      </c>
      <c r="E26" s="36" t="s">
        <v>9</v>
      </c>
      <c r="F26" s="37"/>
      <c r="G26" s="37"/>
      <c r="H26" s="38"/>
      <c r="I26" s="37"/>
      <c r="J26" s="39"/>
      <c r="K26" s="40"/>
      <c r="L26" s="37"/>
      <c r="M26" s="39"/>
      <c r="N26" s="40"/>
      <c r="O26" s="37"/>
      <c r="P26" s="39"/>
      <c r="Q26" s="41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 x14ac:dyDescent="0.2">
      <c r="A27" s="4"/>
      <c r="B27" s="19" t="s">
        <v>22</v>
      </c>
      <c r="C27" s="224"/>
      <c r="D27" s="224"/>
      <c r="E27" s="20" t="s">
        <v>11</v>
      </c>
      <c r="F27" s="21"/>
      <c r="G27" s="21"/>
      <c r="H27" s="24"/>
      <c r="I27" s="21"/>
      <c r="J27" s="21"/>
      <c r="K27" s="21"/>
      <c r="L27" s="21"/>
      <c r="M27" s="21"/>
      <c r="N27" s="21"/>
      <c r="O27" s="21"/>
      <c r="P27" s="21"/>
      <c r="Q27" s="22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 x14ac:dyDescent="0.2">
      <c r="A28" s="4"/>
      <c r="B28" s="23"/>
      <c r="C28" s="224"/>
      <c r="D28" s="224"/>
      <c r="E28" s="20" t="s">
        <v>12</v>
      </c>
      <c r="F28" s="21"/>
      <c r="G28" s="21"/>
      <c r="H28" s="24"/>
      <c r="I28" s="14"/>
      <c r="J28" s="16"/>
      <c r="K28" s="15"/>
      <c r="L28" s="14"/>
      <c r="M28" s="16"/>
      <c r="N28" s="15"/>
      <c r="O28" s="14"/>
      <c r="P28" s="16"/>
      <c r="Q28" s="2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 x14ac:dyDescent="0.2">
      <c r="A29" s="4"/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 x14ac:dyDescent="0.2">
      <c r="A30" s="4"/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 x14ac:dyDescent="0.2">
      <c r="A31" s="4"/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 x14ac:dyDescent="0.2">
      <c r="A32" s="4"/>
      <c r="B32" s="23"/>
      <c r="C32" s="224"/>
      <c r="D32" s="224"/>
      <c r="E32" s="20" t="s">
        <v>16</v>
      </c>
      <c r="F32" s="47">
        <v>0.8</v>
      </c>
      <c r="G32" s="21">
        <v>0.8</v>
      </c>
      <c r="H32" s="24"/>
      <c r="I32" s="14"/>
      <c r="J32" s="14"/>
      <c r="K32" s="14"/>
      <c r="L32" s="14"/>
      <c r="M32" s="14"/>
      <c r="N32" s="14"/>
      <c r="O32" s="14"/>
      <c r="P32" s="14"/>
      <c r="Q32" s="22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 x14ac:dyDescent="0.2">
      <c r="A33" s="4"/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 x14ac:dyDescent="0.2">
      <c r="A34" s="4"/>
      <c r="B34" s="42" t="str">
        <f>B26</f>
        <v>Anthony Watson</v>
      </c>
      <c r="C34" s="43"/>
      <c r="D34" s="43"/>
      <c r="E34" s="44" t="s">
        <v>18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 x14ac:dyDescent="0.2">
      <c r="A35" s="4"/>
      <c r="B35" s="35" t="s">
        <v>23</v>
      </c>
      <c r="C35" s="223" t="s">
        <v>8</v>
      </c>
      <c r="D35" s="223" t="s">
        <v>8</v>
      </c>
      <c r="E35" s="36" t="s">
        <v>9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8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 x14ac:dyDescent="0.2">
      <c r="A36" s="4"/>
      <c r="B36" s="19" t="s">
        <v>24</v>
      </c>
      <c r="C36" s="224"/>
      <c r="D36" s="224"/>
      <c r="E36" s="20" t="s">
        <v>11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2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">
      <c r="A37" s="4"/>
      <c r="B37" s="23"/>
      <c r="C37" s="224"/>
      <c r="D37" s="224"/>
      <c r="E37" s="20" t="s">
        <v>12</v>
      </c>
      <c r="F37" s="21">
        <v>0.43340000000000001</v>
      </c>
      <c r="G37" s="21">
        <v>0.43</v>
      </c>
      <c r="H37" s="24"/>
      <c r="I37" s="14"/>
      <c r="J37" s="16"/>
      <c r="K37" s="15"/>
      <c r="L37" s="14"/>
      <c r="M37" s="16"/>
      <c r="N37" s="15"/>
      <c r="O37" s="14"/>
      <c r="P37" s="16"/>
      <c r="Q37" s="2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 x14ac:dyDescent="0.2">
      <c r="A38" s="4"/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 x14ac:dyDescent="0.2">
      <c r="A39" s="4"/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 x14ac:dyDescent="0.2">
      <c r="A40" s="4"/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 x14ac:dyDescent="0.2">
      <c r="A41" s="4"/>
      <c r="B41" s="23"/>
      <c r="C41" s="224"/>
      <c r="D41" s="224"/>
      <c r="E41" s="20" t="s">
        <v>16</v>
      </c>
      <c r="F41" s="21"/>
      <c r="G41" s="21"/>
      <c r="H41" s="24"/>
      <c r="I41" s="14"/>
      <c r="J41" s="16"/>
      <c r="K41" s="15"/>
      <c r="L41" s="14"/>
      <c r="M41" s="16"/>
      <c r="N41" s="15"/>
      <c r="O41" s="14"/>
      <c r="P41" s="16"/>
      <c r="Q41" s="2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 x14ac:dyDescent="0.2">
      <c r="A42" s="4"/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 x14ac:dyDescent="0.2">
      <c r="A43" s="4"/>
      <c r="B43" s="42"/>
      <c r="C43" s="43"/>
      <c r="D43" s="43"/>
      <c r="E43" s="44" t="s">
        <v>18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 x14ac:dyDescent="0.2">
      <c r="A44" s="4"/>
      <c r="B44" s="35" t="s">
        <v>25</v>
      </c>
      <c r="C44" s="223" t="s">
        <v>8</v>
      </c>
      <c r="D44" s="223" t="s">
        <v>8</v>
      </c>
      <c r="E44" s="13" t="s">
        <v>9</v>
      </c>
      <c r="F44" s="14"/>
      <c r="G44" s="14"/>
      <c r="H44" s="15"/>
      <c r="I44" s="14"/>
      <c r="J44" s="16"/>
      <c r="K44" s="17"/>
      <c r="L44" s="14"/>
      <c r="M44" s="16"/>
      <c r="N44" s="17"/>
      <c r="O44" s="14"/>
      <c r="P44" s="16"/>
      <c r="Q44" s="18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 x14ac:dyDescent="0.2">
      <c r="A45" s="4"/>
      <c r="B45" s="19" t="s">
        <v>26</v>
      </c>
      <c r="C45" s="224"/>
      <c r="D45" s="224"/>
      <c r="E45" s="20" t="s">
        <v>11</v>
      </c>
      <c r="F45" s="21">
        <v>0.71</v>
      </c>
      <c r="G45" s="21">
        <v>0.71</v>
      </c>
      <c r="H45" s="24"/>
      <c r="I45" s="21"/>
      <c r="J45" s="49"/>
      <c r="K45" s="15"/>
      <c r="L45" s="21"/>
      <c r="M45" s="49"/>
      <c r="N45" s="15"/>
      <c r="O45" s="21"/>
      <c r="P45" s="49"/>
      <c r="Q45" s="2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 x14ac:dyDescent="0.2">
      <c r="A46" s="4"/>
      <c r="B46" s="23"/>
      <c r="C46" s="224"/>
      <c r="D46" s="224"/>
      <c r="E46" s="20" t="s">
        <v>12</v>
      </c>
      <c r="F46" s="21"/>
      <c r="G46" s="21"/>
      <c r="H46" s="24"/>
      <c r="I46" s="14"/>
      <c r="J46" s="16"/>
      <c r="K46" s="15"/>
      <c r="L46" s="14"/>
      <c r="M46" s="16"/>
      <c r="N46" s="15"/>
      <c r="O46" s="14"/>
      <c r="P46" s="16"/>
      <c r="Q46" s="2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 x14ac:dyDescent="0.2">
      <c r="A47" s="4"/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 x14ac:dyDescent="0.2">
      <c r="A48" s="4"/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 x14ac:dyDescent="0.2">
      <c r="A49" s="4"/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 x14ac:dyDescent="0.2">
      <c r="A50" s="4"/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 x14ac:dyDescent="0.2">
      <c r="A51" s="4"/>
      <c r="B51" s="27"/>
      <c r="C51" s="225"/>
      <c r="D51" s="225"/>
      <c r="E51" s="28" t="s">
        <v>17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 x14ac:dyDescent="0.2">
      <c r="A52" s="4"/>
      <c r="B52" s="31"/>
      <c r="C52" s="32"/>
      <c r="D52" s="32"/>
      <c r="E52" s="32" t="s">
        <v>18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4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 x14ac:dyDescent="0.2">
      <c r="A53" s="4"/>
      <c r="B53" s="35" t="s">
        <v>27</v>
      </c>
      <c r="C53" s="223" t="s">
        <v>8</v>
      </c>
      <c r="D53" s="223" t="s">
        <v>8</v>
      </c>
      <c r="E53" s="36" t="s">
        <v>9</v>
      </c>
      <c r="F53" s="37"/>
      <c r="G53" s="37"/>
      <c r="H53" s="38"/>
      <c r="I53" s="37"/>
      <c r="J53" s="39"/>
      <c r="K53" s="40"/>
      <c r="L53" s="37"/>
      <c r="M53" s="39"/>
      <c r="N53" s="40"/>
      <c r="O53" s="37"/>
      <c r="P53" s="39"/>
      <c r="Q53" s="41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 x14ac:dyDescent="0.2">
      <c r="A54" s="4"/>
      <c r="B54" s="19" t="s">
        <v>28</v>
      </c>
      <c r="C54" s="224"/>
      <c r="D54" s="224"/>
      <c r="E54" s="20" t="s">
        <v>11</v>
      </c>
      <c r="F54" s="21"/>
      <c r="G54" s="21"/>
      <c r="H54" s="24"/>
      <c r="I54" s="21"/>
      <c r="J54" s="49"/>
      <c r="K54" s="15"/>
      <c r="L54" s="21"/>
      <c r="M54" s="49"/>
      <c r="N54" s="15"/>
      <c r="O54" s="21"/>
      <c r="P54" s="49"/>
      <c r="Q54" s="2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 x14ac:dyDescent="0.2">
      <c r="A55" s="4"/>
      <c r="B55" s="23"/>
      <c r="C55" s="224"/>
      <c r="D55" s="224"/>
      <c r="E55" s="20" t="s">
        <v>12</v>
      </c>
      <c r="F55" s="21">
        <v>0.4</v>
      </c>
      <c r="G55" s="21">
        <v>0.4</v>
      </c>
      <c r="H55" s="24"/>
      <c r="I55" s="14"/>
      <c r="J55" s="16"/>
      <c r="K55" s="15"/>
      <c r="L55" s="14"/>
      <c r="M55" s="16"/>
      <c r="N55" s="15"/>
      <c r="O55" s="14"/>
      <c r="P55" s="16"/>
      <c r="Q55" s="2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 x14ac:dyDescent="0.2">
      <c r="A56" s="4"/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 x14ac:dyDescent="0.2">
      <c r="A57" s="4"/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 x14ac:dyDescent="0.2">
      <c r="A58" s="4"/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 x14ac:dyDescent="0.2">
      <c r="A59" s="4"/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 x14ac:dyDescent="0.2">
      <c r="A60" s="4"/>
      <c r="B60" s="27"/>
      <c r="C60" s="225"/>
      <c r="D60" s="225"/>
      <c r="E60" s="28" t="s">
        <v>17</v>
      </c>
      <c r="F60" s="29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1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 x14ac:dyDescent="0.2">
      <c r="A61" s="4"/>
      <c r="B61" s="42"/>
      <c r="C61" s="43"/>
      <c r="D61" s="43"/>
      <c r="E61" s="44" t="s">
        <v>18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 x14ac:dyDescent="0.2">
      <c r="A62" s="4"/>
      <c r="B62" s="35" t="s">
        <v>29</v>
      </c>
      <c r="C62" s="223" t="s">
        <v>8</v>
      </c>
      <c r="D62" s="223" t="s">
        <v>8</v>
      </c>
      <c r="E62" s="13" t="s">
        <v>9</v>
      </c>
      <c r="F62" s="52"/>
      <c r="G62" s="52"/>
      <c r="H62" s="53"/>
      <c r="I62" s="52"/>
      <c r="J62" s="54"/>
      <c r="K62" s="55"/>
      <c r="L62" s="52"/>
      <c r="M62" s="16"/>
      <c r="N62" s="17"/>
      <c r="O62" s="14"/>
      <c r="P62" s="16"/>
      <c r="Q62" s="18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 x14ac:dyDescent="0.2">
      <c r="A63" s="4"/>
      <c r="B63" s="19" t="s">
        <v>30</v>
      </c>
      <c r="C63" s="224"/>
      <c r="D63" s="224"/>
      <c r="E63" s="20" t="s">
        <v>11</v>
      </c>
      <c r="F63" s="56">
        <v>0.8</v>
      </c>
      <c r="G63" s="56">
        <v>0.8</v>
      </c>
      <c r="H63" s="57"/>
      <c r="I63" s="56"/>
      <c r="J63" s="58"/>
      <c r="K63" s="53"/>
      <c r="L63" s="56"/>
      <c r="M63" s="49"/>
      <c r="N63" s="15"/>
      <c r="O63" s="21"/>
      <c r="P63" s="49"/>
      <c r="Q63" s="2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 x14ac:dyDescent="0.2">
      <c r="A64" s="4"/>
      <c r="B64" s="23"/>
      <c r="C64" s="224"/>
      <c r="D64" s="224"/>
      <c r="E64" s="20" t="s">
        <v>12</v>
      </c>
      <c r="F64" s="56"/>
      <c r="G64" s="56"/>
      <c r="H64" s="57"/>
      <c r="I64" s="52"/>
      <c r="J64" s="54"/>
      <c r="K64" s="53"/>
      <c r="L64" s="52"/>
      <c r="M64" s="16"/>
      <c r="N64" s="15"/>
      <c r="O64" s="14"/>
      <c r="P64" s="16"/>
      <c r="Q64" s="2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 x14ac:dyDescent="0.2">
      <c r="A65" s="4"/>
      <c r="B65" s="23"/>
      <c r="C65" s="224"/>
      <c r="D65" s="224"/>
      <c r="E65" s="20" t="s">
        <v>13</v>
      </c>
      <c r="F65" s="56"/>
      <c r="G65" s="56"/>
      <c r="H65" s="57"/>
      <c r="I65" s="52"/>
      <c r="J65" s="54"/>
      <c r="K65" s="53"/>
      <c r="L65" s="52"/>
      <c r="M65" s="16"/>
      <c r="N65" s="15"/>
      <c r="O65" s="14"/>
      <c r="P65" s="16"/>
      <c r="Q65" s="2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 x14ac:dyDescent="0.2">
      <c r="A66" s="4"/>
      <c r="B66" s="23"/>
      <c r="C66" s="224"/>
      <c r="D66" s="224"/>
      <c r="E66" s="20" t="s">
        <v>14</v>
      </c>
      <c r="F66" s="56"/>
      <c r="G66" s="56"/>
      <c r="H66" s="57"/>
      <c r="I66" s="52"/>
      <c r="J66" s="54"/>
      <c r="K66" s="53"/>
      <c r="L66" s="52"/>
      <c r="M66" s="16"/>
      <c r="N66" s="15"/>
      <c r="O66" s="14"/>
      <c r="P66" s="16"/>
      <c r="Q66" s="2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 x14ac:dyDescent="0.2">
      <c r="A67" s="4"/>
      <c r="B67" s="23"/>
      <c r="C67" s="224"/>
      <c r="D67" s="224"/>
      <c r="E67" s="20" t="s">
        <v>15</v>
      </c>
      <c r="F67" s="56"/>
      <c r="G67" s="56"/>
      <c r="H67" s="57"/>
      <c r="I67" s="52"/>
      <c r="J67" s="54"/>
      <c r="K67" s="53"/>
      <c r="L67" s="52"/>
      <c r="M67" s="16"/>
      <c r="N67" s="15"/>
      <c r="O67" s="14"/>
      <c r="P67" s="16"/>
      <c r="Q67" s="2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 x14ac:dyDescent="0.2">
      <c r="A68" s="4"/>
      <c r="B68" s="23"/>
      <c r="C68" s="224"/>
      <c r="D68" s="224"/>
      <c r="E68" s="20" t="s">
        <v>16</v>
      </c>
      <c r="F68" s="56"/>
      <c r="G68" s="56"/>
      <c r="H68" s="57"/>
      <c r="I68" s="52"/>
      <c r="J68" s="54"/>
      <c r="K68" s="53"/>
      <c r="L68" s="52"/>
      <c r="M68" s="16"/>
      <c r="N68" s="15"/>
      <c r="O68" s="14"/>
      <c r="P68" s="16"/>
      <c r="Q68" s="2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 x14ac:dyDescent="0.2">
      <c r="A69" s="4"/>
      <c r="B69" s="27"/>
      <c r="C69" s="225"/>
      <c r="D69" s="225"/>
      <c r="E69" s="28" t="s">
        <v>17</v>
      </c>
      <c r="F69" s="59"/>
      <c r="G69" s="59"/>
      <c r="H69" s="59"/>
      <c r="I69" s="59"/>
      <c r="J69" s="59"/>
      <c r="K69" s="59"/>
      <c r="L69" s="59"/>
      <c r="M69" s="29"/>
      <c r="N69" s="29"/>
      <c r="O69" s="29"/>
      <c r="P69" s="29"/>
      <c r="Q69" s="30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 x14ac:dyDescent="0.2">
      <c r="A70" s="4"/>
      <c r="B70" s="31"/>
      <c r="C70" s="32"/>
      <c r="D70" s="32"/>
      <c r="E70" s="32" t="s">
        <v>18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4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 x14ac:dyDescent="0.2">
      <c r="A71" s="4"/>
      <c r="B71" s="35" t="s">
        <v>31</v>
      </c>
      <c r="C71" s="223" t="s">
        <v>8</v>
      </c>
      <c r="D71" s="223" t="s">
        <v>8</v>
      </c>
      <c r="E71" s="36" t="s">
        <v>9</v>
      </c>
      <c r="F71" s="60"/>
      <c r="G71" s="61"/>
      <c r="H71" s="62"/>
      <c r="I71" s="61"/>
      <c r="J71" s="63"/>
      <c r="K71" s="64"/>
      <c r="L71" s="61"/>
      <c r="M71" s="63"/>
      <c r="N71" s="64"/>
      <c r="O71" s="61"/>
      <c r="P71" s="63"/>
      <c r="Q71" s="6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 x14ac:dyDescent="0.2">
      <c r="A72" s="4"/>
      <c r="B72" s="19" t="s">
        <v>32</v>
      </c>
      <c r="C72" s="224"/>
      <c r="D72" s="224"/>
      <c r="E72" s="20" t="s">
        <v>11</v>
      </c>
      <c r="F72" s="56">
        <v>0.4</v>
      </c>
      <c r="G72" s="66"/>
      <c r="H72" s="67"/>
      <c r="I72" s="66"/>
      <c r="J72" s="68"/>
      <c r="K72" s="69"/>
      <c r="L72" s="66"/>
      <c r="M72" s="68"/>
      <c r="N72" s="69"/>
      <c r="O72" s="66"/>
      <c r="P72" s="68"/>
      <c r="Q72" s="70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 x14ac:dyDescent="0.2">
      <c r="A73" s="4"/>
      <c r="B73" s="23"/>
      <c r="C73" s="224"/>
      <c r="D73" s="224"/>
      <c r="E73" s="20" t="s">
        <v>12</v>
      </c>
      <c r="F73" s="56"/>
      <c r="G73" s="66"/>
      <c r="H73" s="67"/>
      <c r="I73" s="71"/>
      <c r="J73" s="72"/>
      <c r="K73" s="69"/>
      <c r="L73" s="71"/>
      <c r="M73" s="72"/>
      <c r="N73" s="69"/>
      <c r="O73" s="71"/>
      <c r="P73" s="72"/>
      <c r="Q73" s="70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 x14ac:dyDescent="0.2">
      <c r="A74" s="4"/>
      <c r="B74" s="23"/>
      <c r="C74" s="224"/>
      <c r="D74" s="224"/>
      <c r="E74" s="20" t="s">
        <v>13</v>
      </c>
      <c r="F74" s="56"/>
      <c r="G74" s="66"/>
      <c r="H74" s="67"/>
      <c r="I74" s="71"/>
      <c r="J74" s="72"/>
      <c r="K74" s="69"/>
      <c r="L74" s="71"/>
      <c r="M74" s="72"/>
      <c r="N74" s="69"/>
      <c r="O74" s="71"/>
      <c r="P74" s="72"/>
      <c r="Q74" s="70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 x14ac:dyDescent="0.2">
      <c r="A75" s="4"/>
      <c r="B75" s="23"/>
      <c r="C75" s="224"/>
      <c r="D75" s="224"/>
      <c r="E75" s="20" t="s">
        <v>14</v>
      </c>
      <c r="F75" s="56"/>
      <c r="G75" s="66"/>
      <c r="H75" s="67"/>
      <c r="I75" s="71"/>
      <c r="J75" s="72"/>
      <c r="K75" s="69"/>
      <c r="L75" s="71"/>
      <c r="M75" s="72"/>
      <c r="N75" s="69"/>
      <c r="O75" s="71"/>
      <c r="P75" s="72"/>
      <c r="Q75" s="70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 x14ac:dyDescent="0.2">
      <c r="A76" s="4"/>
      <c r="B76" s="23"/>
      <c r="C76" s="224"/>
      <c r="D76" s="224"/>
      <c r="E76" s="20" t="s">
        <v>15</v>
      </c>
      <c r="F76" s="56"/>
      <c r="G76" s="66"/>
      <c r="H76" s="67"/>
      <c r="I76" s="71"/>
      <c r="J76" s="72"/>
      <c r="K76" s="69"/>
      <c r="L76" s="71"/>
      <c r="M76" s="72"/>
      <c r="N76" s="69"/>
      <c r="O76" s="71"/>
      <c r="P76" s="72"/>
      <c r="Q76" s="70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 x14ac:dyDescent="0.2">
      <c r="A77" s="4"/>
      <c r="B77" s="23"/>
      <c r="C77" s="224"/>
      <c r="D77" s="224"/>
      <c r="E77" s="20" t="s">
        <v>16</v>
      </c>
      <c r="F77" s="56"/>
      <c r="G77" s="66"/>
      <c r="H77" s="67"/>
      <c r="I77" s="71"/>
      <c r="J77" s="72"/>
      <c r="K77" s="69"/>
      <c r="L77" s="71"/>
      <c r="M77" s="72"/>
      <c r="N77" s="69"/>
      <c r="O77" s="71"/>
      <c r="P77" s="72"/>
      <c r="Q77" s="70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 x14ac:dyDescent="0.2">
      <c r="A78" s="4"/>
      <c r="B78" s="27"/>
      <c r="C78" s="225"/>
      <c r="D78" s="225"/>
      <c r="E78" s="28" t="s">
        <v>17</v>
      </c>
      <c r="F78" s="59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4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 x14ac:dyDescent="0.2">
      <c r="A79" s="4"/>
      <c r="B79" s="42"/>
      <c r="C79" s="43"/>
      <c r="D79" s="43"/>
      <c r="E79" s="44" t="s">
        <v>18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6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 x14ac:dyDescent="0.2">
      <c r="A80" s="4"/>
      <c r="B80" s="11" t="s">
        <v>33</v>
      </c>
      <c r="C80" s="223" t="s">
        <v>8</v>
      </c>
      <c r="D80" s="223" t="s">
        <v>8</v>
      </c>
      <c r="E80" s="13" t="s">
        <v>9</v>
      </c>
      <c r="F80" s="14"/>
      <c r="G80" s="14"/>
      <c r="H80" s="15"/>
      <c r="I80" s="14"/>
      <c r="J80" s="16"/>
      <c r="K80" s="17"/>
      <c r="L80" s="14"/>
      <c r="M80" s="16"/>
      <c r="N80" s="17"/>
      <c r="O80" s="14"/>
      <c r="P80" s="16"/>
      <c r="Q80" s="18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 x14ac:dyDescent="0.2">
      <c r="A81" s="4"/>
      <c r="B81" s="19" t="s">
        <v>34</v>
      </c>
      <c r="C81" s="224"/>
      <c r="D81" s="224"/>
      <c r="E81" s="20" t="s">
        <v>11</v>
      </c>
      <c r="F81" s="21"/>
      <c r="G81" s="21"/>
      <c r="H81" s="24"/>
      <c r="I81" s="21"/>
      <c r="J81" s="49"/>
      <c r="K81" s="15"/>
      <c r="L81" s="21"/>
      <c r="M81" s="49"/>
      <c r="N81" s="15"/>
      <c r="O81" s="21"/>
      <c r="P81" s="49"/>
      <c r="Q81" s="2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 x14ac:dyDescent="0.2">
      <c r="A82" s="4"/>
      <c r="B82" s="23"/>
      <c r="C82" s="224"/>
      <c r="D82" s="224"/>
      <c r="E82" s="20" t="s">
        <v>12</v>
      </c>
      <c r="F82" s="21"/>
      <c r="G82" s="21"/>
      <c r="H82" s="24"/>
      <c r="I82" s="14"/>
      <c r="J82" s="16"/>
      <c r="K82" s="15"/>
      <c r="L82" s="14"/>
      <c r="M82" s="16"/>
      <c r="N82" s="15"/>
      <c r="O82" s="14"/>
      <c r="P82" s="16"/>
      <c r="Q82" s="2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">
      <c r="A83" s="4"/>
      <c r="B83" s="23"/>
      <c r="C83" s="224"/>
      <c r="D83" s="224"/>
      <c r="E83" s="20" t="s">
        <v>13</v>
      </c>
      <c r="F83" s="21">
        <v>0.52080000000000004</v>
      </c>
      <c r="G83" s="21">
        <v>0.52080000000000004</v>
      </c>
      <c r="H83" s="24"/>
      <c r="I83" s="14"/>
      <c r="J83" s="16"/>
      <c r="K83" s="15"/>
      <c r="L83" s="14"/>
      <c r="M83" s="16"/>
      <c r="N83" s="15"/>
      <c r="O83" s="14"/>
      <c r="P83" s="16"/>
      <c r="Q83" s="2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 x14ac:dyDescent="0.2">
      <c r="A84" s="4"/>
      <c r="B84" s="23"/>
      <c r="C84" s="224"/>
      <c r="D84" s="224"/>
      <c r="E84" s="20" t="s">
        <v>14</v>
      </c>
      <c r="F84" s="21"/>
      <c r="G84" s="21"/>
      <c r="H84" s="24"/>
      <c r="I84" s="14"/>
      <c r="J84" s="16"/>
      <c r="K84" s="15"/>
      <c r="L84" s="14"/>
      <c r="M84" s="16"/>
      <c r="N84" s="15"/>
      <c r="O84" s="14"/>
      <c r="P84" s="16"/>
      <c r="Q84" s="2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A85" s="4"/>
      <c r="B85" s="23"/>
      <c r="C85" s="224"/>
      <c r="D85" s="224"/>
      <c r="E85" s="20" t="s">
        <v>15</v>
      </c>
      <c r="F85" s="21"/>
      <c r="G85" s="21"/>
      <c r="H85" s="24"/>
      <c r="I85" s="14"/>
      <c r="J85" s="16"/>
      <c r="K85" s="15"/>
      <c r="L85" s="14"/>
      <c r="M85" s="16"/>
      <c r="N85" s="15"/>
      <c r="O85" s="14"/>
      <c r="P85" s="16"/>
      <c r="Q85" s="2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 x14ac:dyDescent="0.2">
      <c r="A86" s="4"/>
      <c r="B86" s="23"/>
      <c r="C86" s="224"/>
      <c r="D86" s="224"/>
      <c r="E86" s="20" t="s">
        <v>16</v>
      </c>
      <c r="F86" s="21"/>
      <c r="G86" s="21"/>
      <c r="H86" s="24"/>
      <c r="I86" s="14"/>
      <c r="J86" s="16"/>
      <c r="K86" s="15"/>
      <c r="L86" s="14"/>
      <c r="M86" s="16"/>
      <c r="N86" s="15"/>
      <c r="O86" s="14"/>
      <c r="P86" s="16"/>
      <c r="Q86" s="2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 x14ac:dyDescent="0.2">
      <c r="A87" s="4"/>
      <c r="B87" s="27"/>
      <c r="C87" s="225"/>
      <c r="D87" s="225"/>
      <c r="E87" s="28" t="s">
        <v>17</v>
      </c>
      <c r="F87" s="29"/>
      <c r="G87" s="29"/>
      <c r="H87" s="29"/>
      <c r="I87" s="50"/>
      <c r="J87" s="50"/>
      <c r="K87" s="50"/>
      <c r="L87" s="50"/>
      <c r="M87" s="50"/>
      <c r="N87" s="50"/>
      <c r="O87" s="50"/>
      <c r="P87" s="50"/>
      <c r="Q87" s="51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 x14ac:dyDescent="0.2">
      <c r="A88" s="4"/>
      <c r="B88" s="42"/>
      <c r="C88" s="43"/>
      <c r="D88" s="43"/>
      <c r="E88" s="44" t="s">
        <v>18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6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 x14ac:dyDescent="0.2">
      <c r="A89" s="4"/>
      <c r="B89" s="11" t="s">
        <v>35</v>
      </c>
      <c r="C89" s="223" t="s">
        <v>8</v>
      </c>
      <c r="D89" s="223" t="s">
        <v>8</v>
      </c>
      <c r="E89" s="13" t="s">
        <v>9</v>
      </c>
      <c r="F89" s="14"/>
      <c r="G89" s="14"/>
      <c r="H89" s="15"/>
      <c r="I89" s="14"/>
      <c r="J89" s="16"/>
      <c r="K89" s="17"/>
      <c r="L89" s="14"/>
      <c r="M89" s="16"/>
      <c r="N89" s="17"/>
      <c r="O89" s="14"/>
      <c r="P89" s="16"/>
      <c r="Q89" s="18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 x14ac:dyDescent="0.2">
      <c r="A90" s="4"/>
      <c r="B90" s="19" t="s">
        <v>36</v>
      </c>
      <c r="C90" s="224"/>
      <c r="D90" s="224"/>
      <c r="E90" s="20" t="s">
        <v>11</v>
      </c>
      <c r="F90" s="21"/>
      <c r="G90" s="21"/>
      <c r="H90" s="24"/>
      <c r="I90" s="21"/>
      <c r="J90" s="49"/>
      <c r="K90" s="15"/>
      <c r="L90" s="21"/>
      <c r="M90" s="49"/>
      <c r="N90" s="15"/>
      <c r="O90" s="21"/>
      <c r="P90" s="49"/>
      <c r="Q90" s="2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 x14ac:dyDescent="0.2">
      <c r="A91" s="4"/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 x14ac:dyDescent="0.2">
      <c r="A92" s="4"/>
      <c r="B92" s="23"/>
      <c r="C92" s="224"/>
      <c r="D92" s="224"/>
      <c r="E92" s="20" t="s">
        <v>13</v>
      </c>
      <c r="F92" s="21"/>
      <c r="G92" s="21"/>
      <c r="H92" s="24"/>
      <c r="I92" s="14"/>
      <c r="J92" s="16"/>
      <c r="K92" s="15"/>
      <c r="L92" s="14"/>
      <c r="M92" s="16"/>
      <c r="N92" s="15"/>
      <c r="O92" s="14"/>
      <c r="P92" s="16"/>
      <c r="Q92" s="2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 x14ac:dyDescent="0.2">
      <c r="A93" s="4"/>
      <c r="B93" s="23"/>
      <c r="C93" s="224"/>
      <c r="D93" s="224"/>
      <c r="E93" s="20" t="s">
        <v>14</v>
      </c>
      <c r="F93" s="21">
        <v>0.61</v>
      </c>
      <c r="G93" s="21">
        <v>0.61</v>
      </c>
      <c r="H93" s="24"/>
      <c r="I93" s="14"/>
      <c r="J93" s="16"/>
      <c r="K93" s="15"/>
      <c r="L93" s="14"/>
      <c r="M93" s="16"/>
      <c r="N93" s="15"/>
      <c r="O93" s="14"/>
      <c r="P93" s="16"/>
      <c r="Q93" s="2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 x14ac:dyDescent="0.2">
      <c r="A94" s="4"/>
      <c r="B94" s="23"/>
      <c r="C94" s="224"/>
      <c r="D94" s="224"/>
      <c r="E94" s="20" t="s">
        <v>15</v>
      </c>
      <c r="F94" s="21"/>
      <c r="G94" s="21"/>
      <c r="H94" s="24"/>
      <c r="I94" s="14"/>
      <c r="J94" s="16"/>
      <c r="K94" s="15"/>
      <c r="L94" s="14"/>
      <c r="M94" s="16"/>
      <c r="N94" s="15"/>
      <c r="O94" s="14"/>
      <c r="P94" s="16"/>
      <c r="Q94" s="2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 x14ac:dyDescent="0.2">
      <c r="A95" s="4"/>
      <c r="B95" s="23"/>
      <c r="C95" s="224"/>
      <c r="D95" s="224"/>
      <c r="E95" s="20" t="s">
        <v>16</v>
      </c>
      <c r="F95" s="21"/>
      <c r="G95" s="21"/>
      <c r="H95" s="24"/>
      <c r="I95" s="14"/>
      <c r="J95" s="16"/>
      <c r="K95" s="15"/>
      <c r="L95" s="14"/>
      <c r="M95" s="16"/>
      <c r="N95" s="15"/>
      <c r="O95" s="14"/>
      <c r="P95" s="16"/>
      <c r="Q95" s="2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 x14ac:dyDescent="0.2">
      <c r="A96" s="4"/>
      <c r="B96" s="27"/>
      <c r="C96" s="225"/>
      <c r="D96" s="225"/>
      <c r="E96" s="28" t="s">
        <v>17</v>
      </c>
      <c r="F96" s="29"/>
      <c r="G96" s="29"/>
      <c r="H96" s="29"/>
      <c r="I96" s="50"/>
      <c r="J96" s="50"/>
      <c r="K96" s="50"/>
      <c r="L96" s="50"/>
      <c r="M96" s="50"/>
      <c r="N96" s="50"/>
      <c r="O96" s="50"/>
      <c r="P96" s="50"/>
      <c r="Q96" s="51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 x14ac:dyDescent="0.2">
      <c r="A97" s="4"/>
      <c r="B97" s="42"/>
      <c r="C97" s="43"/>
      <c r="D97" s="43"/>
      <c r="E97" s="44" t="s">
        <v>18</v>
      </c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6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 x14ac:dyDescent="0.2">
      <c r="A98" s="4"/>
      <c r="B98" s="35" t="s">
        <v>37</v>
      </c>
      <c r="C98" s="223" t="s">
        <v>38</v>
      </c>
      <c r="D98" s="223" t="s">
        <v>38</v>
      </c>
      <c r="E98" s="36" t="s">
        <v>9</v>
      </c>
      <c r="F98" s="37"/>
      <c r="G98" s="37"/>
      <c r="H98" s="38"/>
      <c r="I98" s="37"/>
      <c r="J98" s="39"/>
      <c r="K98" s="40"/>
      <c r="L98" s="37"/>
      <c r="M98" s="39"/>
      <c r="N98" s="40"/>
      <c r="O98" s="37"/>
      <c r="P98" s="39"/>
      <c r="Q98" s="41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 x14ac:dyDescent="0.2">
      <c r="A99" s="4"/>
      <c r="B99" s="19" t="s">
        <v>34</v>
      </c>
      <c r="C99" s="224"/>
      <c r="D99" s="224"/>
      <c r="E99" s="20" t="s">
        <v>11</v>
      </c>
      <c r="F99" s="21"/>
      <c r="G99" s="21"/>
      <c r="H99" s="24"/>
      <c r="I99" s="21"/>
      <c r="J99" s="49"/>
      <c r="K99" s="15"/>
      <c r="L99" s="21"/>
      <c r="M99" s="49"/>
      <c r="N99" s="15"/>
      <c r="O99" s="21"/>
      <c r="P99" s="49"/>
      <c r="Q99" s="2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 x14ac:dyDescent="0.2">
      <c r="A100" s="4"/>
      <c r="B100" s="23"/>
      <c r="C100" s="224"/>
      <c r="D100" s="224"/>
      <c r="E100" s="20" t="s">
        <v>12</v>
      </c>
      <c r="F100" s="21"/>
      <c r="G100" s="21"/>
      <c r="H100" s="24"/>
      <c r="I100" s="14"/>
      <c r="J100" s="16"/>
      <c r="K100" s="15"/>
      <c r="L100" s="14"/>
      <c r="M100" s="16"/>
      <c r="N100" s="15"/>
      <c r="O100" s="14"/>
      <c r="P100" s="16"/>
      <c r="Q100" s="2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 x14ac:dyDescent="0.2">
      <c r="A101" s="4"/>
      <c r="B101" s="23"/>
      <c r="C101" s="224"/>
      <c r="D101" s="224"/>
      <c r="E101" s="20" t="s">
        <v>13</v>
      </c>
      <c r="F101" s="21">
        <v>0.19</v>
      </c>
      <c r="G101" s="21">
        <v>0.19</v>
      </c>
      <c r="H101" s="21"/>
      <c r="I101" s="14"/>
      <c r="J101" s="16"/>
      <c r="K101" s="15"/>
      <c r="L101" s="14"/>
      <c r="M101" s="16"/>
      <c r="N101" s="15"/>
      <c r="O101" s="14"/>
      <c r="P101" s="16"/>
      <c r="Q101" s="2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 x14ac:dyDescent="0.2">
      <c r="A102" s="4"/>
      <c r="B102" s="23"/>
      <c r="C102" s="224"/>
      <c r="D102" s="224"/>
      <c r="E102" s="20" t="s">
        <v>14</v>
      </c>
      <c r="F102" s="21"/>
      <c r="G102" s="21"/>
      <c r="H102" s="24"/>
      <c r="I102" s="14"/>
      <c r="J102" s="16"/>
      <c r="K102" s="15"/>
      <c r="L102" s="14"/>
      <c r="M102" s="16"/>
      <c r="N102" s="15"/>
      <c r="O102" s="14"/>
      <c r="P102" s="16"/>
      <c r="Q102" s="2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 x14ac:dyDescent="0.2">
      <c r="A103" s="4"/>
      <c r="B103" s="23"/>
      <c r="C103" s="224"/>
      <c r="D103" s="224"/>
      <c r="E103" s="20" t="s">
        <v>15</v>
      </c>
      <c r="F103" s="21"/>
      <c r="G103" s="21"/>
      <c r="H103" s="24"/>
      <c r="I103" s="14"/>
      <c r="J103" s="16"/>
      <c r="K103" s="15"/>
      <c r="L103" s="14"/>
      <c r="M103" s="16"/>
      <c r="N103" s="15"/>
      <c r="O103" s="14"/>
      <c r="P103" s="16"/>
      <c r="Q103" s="2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A104" s="4"/>
      <c r="B104" s="23"/>
      <c r="C104" s="224"/>
      <c r="D104" s="224"/>
      <c r="E104" s="20" t="s">
        <v>16</v>
      </c>
      <c r="F104" s="21"/>
      <c r="G104" s="21"/>
      <c r="H104" s="24"/>
      <c r="I104" s="14"/>
      <c r="J104" s="16"/>
      <c r="K104" s="15"/>
      <c r="L104" s="14"/>
      <c r="M104" s="16"/>
      <c r="N104" s="15"/>
      <c r="O104" s="14"/>
      <c r="P104" s="16"/>
      <c r="Q104" s="2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 x14ac:dyDescent="0.2">
      <c r="A105" s="4"/>
      <c r="B105" s="27"/>
      <c r="C105" s="225"/>
      <c r="D105" s="225"/>
      <c r="E105" s="28" t="s">
        <v>17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A106" s="4"/>
      <c r="B106" s="42"/>
      <c r="C106" s="43"/>
      <c r="D106" s="43"/>
      <c r="E106" s="44" t="s">
        <v>18</v>
      </c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6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 x14ac:dyDescent="0.2">
      <c r="A107" s="4"/>
      <c r="B107" s="35" t="s">
        <v>39</v>
      </c>
      <c r="C107" s="223" t="s">
        <v>38</v>
      </c>
      <c r="D107" s="223" t="s">
        <v>38</v>
      </c>
      <c r="E107" s="36" t="s">
        <v>9</v>
      </c>
      <c r="F107" s="38"/>
      <c r="G107" s="37"/>
      <c r="H107" s="38"/>
      <c r="I107" s="37"/>
      <c r="J107" s="39"/>
      <c r="K107" s="40"/>
      <c r="L107" s="37"/>
      <c r="M107" s="39"/>
      <c r="N107" s="40"/>
      <c r="O107" s="37"/>
      <c r="P107" s="39"/>
      <c r="Q107" s="41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 x14ac:dyDescent="0.2">
      <c r="A108" s="4"/>
      <c r="B108" s="19" t="s">
        <v>34</v>
      </c>
      <c r="C108" s="224"/>
      <c r="D108" s="224"/>
      <c r="E108" s="20" t="s">
        <v>11</v>
      </c>
      <c r="F108" s="24"/>
      <c r="G108" s="21"/>
      <c r="H108" s="24"/>
      <c r="I108" s="21"/>
      <c r="J108" s="49"/>
      <c r="K108" s="15"/>
      <c r="L108" s="21"/>
      <c r="M108" s="49"/>
      <c r="N108" s="15"/>
      <c r="O108" s="21"/>
      <c r="P108" s="49"/>
      <c r="Q108" s="2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 x14ac:dyDescent="0.2">
      <c r="A109" s="4"/>
      <c r="B109" s="23"/>
      <c r="C109" s="224"/>
      <c r="D109" s="224"/>
      <c r="E109" s="20" t="s">
        <v>12</v>
      </c>
      <c r="F109" s="24"/>
      <c r="G109" s="21"/>
      <c r="H109" s="24"/>
      <c r="I109" s="14"/>
      <c r="J109" s="16"/>
      <c r="K109" s="15"/>
      <c r="L109" s="14"/>
      <c r="M109" s="16"/>
      <c r="N109" s="15"/>
      <c r="O109" s="14"/>
      <c r="P109" s="16"/>
      <c r="Q109" s="2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 x14ac:dyDescent="0.2">
      <c r="A110" s="4"/>
      <c r="B110" s="23"/>
      <c r="C110" s="224"/>
      <c r="D110" s="224"/>
      <c r="E110" s="20" t="s">
        <v>13</v>
      </c>
      <c r="F110" s="24">
        <v>0.45</v>
      </c>
      <c r="G110" s="21">
        <v>0.45</v>
      </c>
      <c r="H110" s="24"/>
      <c r="I110" s="14"/>
      <c r="J110" s="16"/>
      <c r="K110" s="15"/>
      <c r="L110" s="14"/>
      <c r="M110" s="16"/>
      <c r="N110" s="15"/>
      <c r="O110" s="14"/>
      <c r="P110" s="16"/>
      <c r="Q110" s="2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 x14ac:dyDescent="0.2">
      <c r="A111" s="4"/>
      <c r="B111" s="23"/>
      <c r="C111" s="224"/>
      <c r="D111" s="224"/>
      <c r="E111" s="20" t="s">
        <v>14</v>
      </c>
      <c r="F111" s="24"/>
      <c r="G111" s="21"/>
      <c r="H111" s="24"/>
      <c r="I111" s="14"/>
      <c r="J111" s="16"/>
      <c r="K111" s="15"/>
      <c r="L111" s="14"/>
      <c r="M111" s="16"/>
      <c r="N111" s="15"/>
      <c r="O111" s="14"/>
      <c r="P111" s="16"/>
      <c r="Q111" s="2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 x14ac:dyDescent="0.2">
      <c r="A112" s="4"/>
      <c r="B112" s="23"/>
      <c r="C112" s="224"/>
      <c r="D112" s="224"/>
      <c r="E112" s="20" t="s">
        <v>15</v>
      </c>
      <c r="F112" s="24"/>
      <c r="G112" s="21"/>
      <c r="H112" s="24"/>
      <c r="I112" s="14"/>
      <c r="J112" s="16"/>
      <c r="K112" s="15"/>
      <c r="L112" s="14"/>
      <c r="M112" s="16"/>
      <c r="N112" s="15"/>
      <c r="O112" s="14"/>
      <c r="P112" s="16"/>
      <c r="Q112" s="2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 x14ac:dyDescent="0.2">
      <c r="A113" s="4"/>
      <c r="B113" s="23"/>
      <c r="C113" s="224"/>
      <c r="D113" s="224"/>
      <c r="E113" s="20" t="s">
        <v>16</v>
      </c>
      <c r="F113" s="24"/>
      <c r="G113" s="21"/>
      <c r="H113" s="24"/>
      <c r="I113" s="14"/>
      <c r="J113" s="16"/>
      <c r="K113" s="15"/>
      <c r="L113" s="14"/>
      <c r="M113" s="16"/>
      <c r="N113" s="15"/>
      <c r="O113" s="14"/>
      <c r="P113" s="16"/>
      <c r="Q113" s="2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 x14ac:dyDescent="0.2">
      <c r="A114" s="4"/>
      <c r="B114" s="27"/>
      <c r="C114" s="225"/>
      <c r="D114" s="225"/>
      <c r="E114" s="28" t="s">
        <v>17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0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 x14ac:dyDescent="0.2">
      <c r="A115" s="4"/>
      <c r="B115" s="42"/>
      <c r="C115" s="43"/>
      <c r="D115" s="43"/>
      <c r="E115" s="44" t="s">
        <v>18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6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 x14ac:dyDescent="0.2">
      <c r="A116" s="4"/>
      <c r="B116" s="35" t="s">
        <v>40</v>
      </c>
      <c r="C116" s="223" t="s">
        <v>38</v>
      </c>
      <c r="D116" s="223" t="s">
        <v>38</v>
      </c>
      <c r="E116" s="36" t="s">
        <v>9</v>
      </c>
      <c r="F116" s="37"/>
      <c r="G116" s="37"/>
      <c r="H116" s="38"/>
      <c r="I116" s="37"/>
      <c r="J116" s="39"/>
      <c r="K116" s="40"/>
      <c r="L116" s="37"/>
      <c r="M116" s="39"/>
      <c r="N116" s="40"/>
      <c r="O116" s="37"/>
      <c r="P116" s="39"/>
      <c r="Q116" s="41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 x14ac:dyDescent="0.2">
      <c r="A117" s="4"/>
      <c r="B117" s="19" t="s">
        <v>34</v>
      </c>
      <c r="C117" s="224"/>
      <c r="D117" s="224"/>
      <c r="E117" s="20" t="s">
        <v>11</v>
      </c>
      <c r="F117" s="21"/>
      <c r="G117" s="21"/>
      <c r="H117" s="24"/>
      <c r="I117" s="21"/>
      <c r="J117" s="49"/>
      <c r="K117" s="15"/>
      <c r="L117" s="21"/>
      <c r="M117" s="49"/>
      <c r="N117" s="15"/>
      <c r="O117" s="21"/>
      <c r="P117" s="49"/>
      <c r="Q117" s="2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 x14ac:dyDescent="0.2">
      <c r="A118" s="4"/>
      <c r="B118" s="23"/>
      <c r="C118" s="224"/>
      <c r="D118" s="224"/>
      <c r="E118" s="20" t="s">
        <v>12</v>
      </c>
      <c r="F118" s="21"/>
      <c r="G118" s="21"/>
      <c r="H118" s="24"/>
      <c r="I118" s="14"/>
      <c r="J118" s="16"/>
      <c r="K118" s="15"/>
      <c r="L118" s="14"/>
      <c r="M118" s="16"/>
      <c r="N118" s="15"/>
      <c r="O118" s="14"/>
      <c r="P118" s="16"/>
      <c r="Q118" s="2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 x14ac:dyDescent="0.2">
      <c r="A119" s="4"/>
      <c r="B119" s="23"/>
      <c r="C119" s="224"/>
      <c r="D119" s="224"/>
      <c r="E119" s="20" t="s">
        <v>13</v>
      </c>
      <c r="F119" s="21">
        <v>0.32350000000000001</v>
      </c>
      <c r="G119" s="21">
        <v>0.32350000000000001</v>
      </c>
      <c r="H119" s="24"/>
      <c r="I119" s="14"/>
      <c r="J119" s="16"/>
      <c r="K119" s="15"/>
      <c r="L119" s="14"/>
      <c r="M119" s="16"/>
      <c r="N119" s="15"/>
      <c r="O119" s="14"/>
      <c r="P119" s="16"/>
      <c r="Q119" s="2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A120" s="4"/>
      <c r="B120" s="23"/>
      <c r="C120" s="224"/>
      <c r="D120" s="224"/>
      <c r="E120" s="20" t="s">
        <v>14</v>
      </c>
      <c r="F120" s="21"/>
      <c r="G120" s="21"/>
      <c r="H120" s="24"/>
      <c r="I120" s="14"/>
      <c r="J120" s="16"/>
      <c r="K120" s="15"/>
      <c r="L120" s="14"/>
      <c r="M120" s="16"/>
      <c r="N120" s="15"/>
      <c r="O120" s="14"/>
      <c r="P120" s="16"/>
      <c r="Q120" s="2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 x14ac:dyDescent="0.2">
      <c r="A121" s="4"/>
      <c r="B121" s="23"/>
      <c r="C121" s="224"/>
      <c r="D121" s="224"/>
      <c r="E121" s="20" t="s">
        <v>15</v>
      </c>
      <c r="F121" s="21"/>
      <c r="G121" s="21"/>
      <c r="H121" s="24"/>
      <c r="I121" s="14"/>
      <c r="J121" s="16"/>
      <c r="K121" s="15"/>
      <c r="L121" s="14"/>
      <c r="M121" s="16"/>
      <c r="N121" s="15"/>
      <c r="O121" s="14"/>
      <c r="P121" s="16"/>
      <c r="Q121" s="2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 x14ac:dyDescent="0.2">
      <c r="A122" s="4"/>
      <c r="B122" s="23"/>
      <c r="C122" s="224"/>
      <c r="D122" s="224"/>
      <c r="E122" s="20" t="s">
        <v>16</v>
      </c>
      <c r="F122" s="21"/>
      <c r="G122" s="21"/>
      <c r="H122" s="24"/>
      <c r="I122" s="14"/>
      <c r="J122" s="16"/>
      <c r="K122" s="15"/>
      <c r="L122" s="14"/>
      <c r="M122" s="16"/>
      <c r="N122" s="15"/>
      <c r="O122" s="14"/>
      <c r="P122" s="16"/>
      <c r="Q122" s="2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 x14ac:dyDescent="0.2">
      <c r="A123" s="4"/>
      <c r="B123" s="27"/>
      <c r="C123" s="225"/>
      <c r="D123" s="225"/>
      <c r="E123" s="28" t="s">
        <v>17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0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 x14ac:dyDescent="0.2">
      <c r="A124" s="4"/>
      <c r="B124" s="42"/>
      <c r="C124" s="43"/>
      <c r="D124" s="43"/>
      <c r="E124" s="44" t="s">
        <v>18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6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A125" s="4"/>
      <c r="B125" s="35" t="s">
        <v>41</v>
      </c>
      <c r="C125" s="223" t="s">
        <v>8</v>
      </c>
      <c r="D125" s="223" t="s">
        <v>42</v>
      </c>
      <c r="E125" s="36" t="s">
        <v>9</v>
      </c>
      <c r="F125" s="37"/>
      <c r="G125" s="37"/>
      <c r="H125" s="38"/>
      <c r="I125" s="37"/>
      <c r="J125" s="39"/>
      <c r="K125" s="40"/>
      <c r="L125" s="37"/>
      <c r="M125" s="39"/>
      <c r="N125" s="40"/>
      <c r="O125" s="37"/>
      <c r="P125" s="39"/>
      <c r="Q125" s="4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 x14ac:dyDescent="0.2">
      <c r="A126" s="4"/>
      <c r="B126" s="19" t="s">
        <v>43</v>
      </c>
      <c r="C126" s="224"/>
      <c r="D126" s="224"/>
      <c r="E126" s="20" t="s">
        <v>11</v>
      </c>
      <c r="F126" s="21"/>
      <c r="G126" s="21"/>
      <c r="H126" s="24"/>
      <c r="I126" s="21"/>
      <c r="J126" s="49"/>
      <c r="K126" s="15"/>
      <c r="L126" s="21"/>
      <c r="M126" s="49"/>
      <c r="N126" s="15"/>
      <c r="O126" s="21"/>
      <c r="P126" s="49"/>
      <c r="Q126" s="2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 x14ac:dyDescent="0.2">
      <c r="A127" s="4"/>
      <c r="B127" s="23"/>
      <c r="C127" s="224"/>
      <c r="D127" s="224"/>
      <c r="E127" s="20" t="s">
        <v>12</v>
      </c>
      <c r="F127" s="21"/>
      <c r="G127" s="21"/>
      <c r="H127" s="24"/>
      <c r="I127" s="14"/>
      <c r="J127" s="16"/>
      <c r="K127" s="15"/>
      <c r="L127" s="14"/>
      <c r="M127" s="16"/>
      <c r="N127" s="15"/>
      <c r="O127" s="14"/>
      <c r="P127" s="16"/>
      <c r="Q127" s="2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 x14ac:dyDescent="0.2">
      <c r="A128" s="4"/>
      <c r="B128" s="23"/>
      <c r="C128" s="224"/>
      <c r="D128" s="224"/>
      <c r="E128" s="20" t="s">
        <v>13</v>
      </c>
      <c r="F128" s="21"/>
      <c r="G128" s="21"/>
      <c r="H128" s="24"/>
      <c r="I128" s="14"/>
      <c r="J128" s="16"/>
      <c r="K128" s="15"/>
      <c r="L128" s="14"/>
      <c r="M128" s="16"/>
      <c r="N128" s="15"/>
      <c r="O128" s="14"/>
      <c r="P128" s="16"/>
      <c r="Q128" s="2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 x14ac:dyDescent="0.2">
      <c r="A129" s="4"/>
      <c r="B129" s="23"/>
      <c r="C129" s="224"/>
      <c r="D129" s="224"/>
      <c r="E129" s="20" t="s">
        <v>14</v>
      </c>
      <c r="F129" s="21"/>
      <c r="G129" s="21"/>
      <c r="H129" s="24"/>
      <c r="I129" s="14"/>
      <c r="J129" s="16"/>
      <c r="K129" s="15"/>
      <c r="L129" s="14"/>
      <c r="M129" s="16"/>
      <c r="N129" s="15"/>
      <c r="O129" s="14"/>
      <c r="P129" s="16"/>
      <c r="Q129" s="2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 x14ac:dyDescent="0.2">
      <c r="A130" s="4"/>
      <c r="B130" s="23"/>
      <c r="C130" s="224"/>
      <c r="D130" s="224"/>
      <c r="E130" s="20" t="s">
        <v>15</v>
      </c>
      <c r="F130" s="21"/>
      <c r="G130" s="21"/>
      <c r="H130" s="24"/>
      <c r="I130" s="14"/>
      <c r="J130" s="16"/>
      <c r="K130" s="15"/>
      <c r="L130" s="14"/>
      <c r="M130" s="16"/>
      <c r="N130" s="15"/>
      <c r="O130" s="14"/>
      <c r="P130" s="16"/>
      <c r="Q130" s="2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 x14ac:dyDescent="0.2">
      <c r="A131" s="4"/>
      <c r="B131" s="23"/>
      <c r="C131" s="224"/>
      <c r="D131" s="224"/>
      <c r="E131" s="20" t="s">
        <v>16</v>
      </c>
      <c r="F131" s="21">
        <v>0.2094</v>
      </c>
      <c r="G131" s="21">
        <v>0.2094</v>
      </c>
      <c r="H131" s="24"/>
      <c r="I131" s="14"/>
      <c r="J131" s="16"/>
      <c r="K131" s="15"/>
      <c r="L131" s="14"/>
      <c r="M131" s="16"/>
      <c r="N131" s="15"/>
      <c r="O131" s="14"/>
      <c r="P131" s="16"/>
      <c r="Q131" s="2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 x14ac:dyDescent="0.2">
      <c r="A132" s="4"/>
      <c r="B132" s="27"/>
      <c r="C132" s="225"/>
      <c r="D132" s="225"/>
      <c r="E132" s="28" t="s">
        <v>17</v>
      </c>
      <c r="F132" s="29"/>
      <c r="G132" s="29"/>
      <c r="H132" s="29"/>
      <c r="I132" s="50"/>
      <c r="J132" s="50"/>
      <c r="K132" s="50"/>
      <c r="L132" s="50"/>
      <c r="M132" s="50"/>
      <c r="N132" s="50"/>
      <c r="O132" s="50"/>
      <c r="P132" s="50"/>
      <c r="Q132" s="51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 x14ac:dyDescent="0.2">
      <c r="A133" s="4"/>
      <c r="B133" s="42"/>
      <c r="C133" s="43"/>
      <c r="D133" s="43"/>
      <c r="E133" s="44" t="s">
        <v>18</v>
      </c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6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 x14ac:dyDescent="0.2">
      <c r="A134" s="4"/>
      <c r="B134" s="35" t="s">
        <v>44</v>
      </c>
      <c r="C134" s="223" t="s">
        <v>8</v>
      </c>
      <c r="D134" s="223" t="s">
        <v>42</v>
      </c>
      <c r="E134" s="36" t="s">
        <v>9</v>
      </c>
      <c r="F134" s="37"/>
      <c r="G134" s="37"/>
      <c r="H134" s="38"/>
      <c r="I134" s="37"/>
      <c r="J134" s="39"/>
      <c r="K134" s="40"/>
      <c r="L134" s="37"/>
      <c r="M134" s="39"/>
      <c r="N134" s="40"/>
      <c r="O134" s="37"/>
      <c r="P134" s="39"/>
      <c r="Q134" s="41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 x14ac:dyDescent="0.2">
      <c r="A135" s="4"/>
      <c r="B135" s="19" t="s">
        <v>45</v>
      </c>
      <c r="C135" s="224"/>
      <c r="D135" s="224"/>
      <c r="E135" s="20" t="s">
        <v>11</v>
      </c>
      <c r="F135" s="21"/>
      <c r="G135" s="21"/>
      <c r="H135" s="24"/>
      <c r="I135" s="21"/>
      <c r="J135" s="49"/>
      <c r="K135" s="15"/>
      <c r="L135" s="21"/>
      <c r="M135" s="49"/>
      <c r="N135" s="15"/>
      <c r="O135" s="21"/>
      <c r="P135" s="49"/>
      <c r="Q135" s="2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 x14ac:dyDescent="0.2">
      <c r="A136" s="4"/>
      <c r="B136" s="23"/>
      <c r="C136" s="224"/>
      <c r="D136" s="224"/>
      <c r="E136" s="20" t="s">
        <v>12</v>
      </c>
      <c r="F136" s="21"/>
      <c r="G136" s="21"/>
      <c r="H136" s="24"/>
      <c r="I136" s="14"/>
      <c r="J136" s="16"/>
      <c r="K136" s="15"/>
      <c r="L136" s="14"/>
      <c r="M136" s="16"/>
      <c r="N136" s="15"/>
      <c r="O136" s="14"/>
      <c r="P136" s="16"/>
      <c r="Q136" s="2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 x14ac:dyDescent="0.2">
      <c r="A137" s="4"/>
      <c r="B137" s="23"/>
      <c r="C137" s="224"/>
      <c r="D137" s="224"/>
      <c r="E137" s="20" t="s">
        <v>13</v>
      </c>
      <c r="F137" s="21"/>
      <c r="G137" s="21"/>
      <c r="H137" s="24"/>
      <c r="I137" s="14"/>
      <c r="J137" s="16"/>
      <c r="K137" s="15"/>
      <c r="L137" s="14"/>
      <c r="M137" s="16"/>
      <c r="N137" s="15"/>
      <c r="O137" s="14"/>
      <c r="P137" s="16"/>
      <c r="Q137" s="2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 x14ac:dyDescent="0.2">
      <c r="A138" s="4"/>
      <c r="B138" s="23"/>
      <c r="C138" s="224"/>
      <c r="D138" s="224"/>
      <c r="E138" s="20" t="s">
        <v>14</v>
      </c>
      <c r="F138" s="21"/>
      <c r="G138" s="21"/>
      <c r="H138" s="24"/>
      <c r="I138" s="14"/>
      <c r="J138" s="16"/>
      <c r="K138" s="15"/>
      <c r="L138" s="14"/>
      <c r="M138" s="16"/>
      <c r="N138" s="15"/>
      <c r="O138" s="14"/>
      <c r="P138" s="16"/>
      <c r="Q138" s="2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 x14ac:dyDescent="0.2">
      <c r="A139" s="4"/>
      <c r="B139" s="23"/>
      <c r="C139" s="224"/>
      <c r="D139" s="224"/>
      <c r="E139" s="20" t="s">
        <v>15</v>
      </c>
      <c r="F139" s="21"/>
      <c r="G139" s="21"/>
      <c r="H139" s="24"/>
      <c r="I139" s="14"/>
      <c r="J139" s="16"/>
      <c r="K139" s="15"/>
      <c r="L139" s="14"/>
      <c r="M139" s="16"/>
      <c r="N139" s="15"/>
      <c r="O139" s="14"/>
      <c r="P139" s="16"/>
      <c r="Q139" s="2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 x14ac:dyDescent="0.2">
      <c r="A140" s="4"/>
      <c r="B140" s="23"/>
      <c r="C140" s="224"/>
      <c r="D140" s="224"/>
      <c r="E140" s="20" t="s">
        <v>16</v>
      </c>
      <c r="F140" s="21">
        <v>0.2094</v>
      </c>
      <c r="G140" s="21">
        <v>0.2094</v>
      </c>
      <c r="H140" s="24"/>
      <c r="I140" s="14"/>
      <c r="J140" s="16"/>
      <c r="K140" s="15"/>
      <c r="L140" s="14"/>
      <c r="M140" s="16"/>
      <c r="N140" s="15"/>
      <c r="O140" s="14"/>
      <c r="P140" s="16"/>
      <c r="Q140" s="2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 x14ac:dyDescent="0.2">
      <c r="A141" s="4"/>
      <c r="B141" s="27"/>
      <c r="C141" s="225"/>
      <c r="D141" s="225"/>
      <c r="E141" s="28" t="s">
        <v>17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1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 x14ac:dyDescent="0.2">
      <c r="A142" s="4"/>
      <c r="B142" s="42"/>
      <c r="C142" s="43"/>
      <c r="D142" s="43"/>
      <c r="E142" s="44" t="s">
        <v>18</v>
      </c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6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 x14ac:dyDescent="0.2">
      <c r="A143" s="4"/>
      <c r="B143" s="11" t="s">
        <v>46</v>
      </c>
      <c r="C143" s="223" t="s">
        <v>8</v>
      </c>
      <c r="D143" s="223" t="s">
        <v>8</v>
      </c>
      <c r="E143" s="13" t="s">
        <v>9</v>
      </c>
      <c r="F143" s="14"/>
      <c r="G143" s="14"/>
      <c r="H143" s="15"/>
      <c r="I143" s="14"/>
      <c r="J143" s="16"/>
      <c r="K143" s="17"/>
      <c r="L143" s="14"/>
      <c r="M143" s="16"/>
      <c r="N143" s="17"/>
      <c r="O143" s="14"/>
      <c r="P143" s="16"/>
      <c r="Q143" s="18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 x14ac:dyDescent="0.2">
      <c r="A144" s="4"/>
      <c r="B144" s="19" t="s">
        <v>47</v>
      </c>
      <c r="C144" s="224"/>
      <c r="D144" s="224"/>
      <c r="E144" s="20" t="s">
        <v>11</v>
      </c>
      <c r="F144" s="21"/>
      <c r="G144" s="21"/>
      <c r="H144" s="24"/>
      <c r="I144" s="21"/>
      <c r="J144" s="49"/>
      <c r="K144" s="15"/>
      <c r="L144" s="21"/>
      <c r="M144" s="49"/>
      <c r="N144" s="15"/>
      <c r="O144" s="21"/>
      <c r="P144" s="49"/>
      <c r="Q144" s="2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 x14ac:dyDescent="0.2">
      <c r="A145" s="4"/>
      <c r="B145" s="23"/>
      <c r="C145" s="224"/>
      <c r="D145" s="224"/>
      <c r="E145" s="20" t="s">
        <v>12</v>
      </c>
      <c r="F145" s="21">
        <v>0.25</v>
      </c>
      <c r="G145" s="21">
        <v>0.25</v>
      </c>
      <c r="H145" s="21"/>
      <c r="I145" s="21"/>
      <c r="J145" s="21"/>
      <c r="K145" s="21"/>
      <c r="L145" s="14"/>
      <c r="M145" s="16"/>
      <c r="N145" s="15"/>
      <c r="O145" s="14"/>
      <c r="P145" s="16"/>
      <c r="Q145" s="2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 x14ac:dyDescent="0.2">
      <c r="A146" s="4"/>
      <c r="B146" s="23"/>
      <c r="C146" s="224"/>
      <c r="D146" s="224"/>
      <c r="E146" s="20" t="s">
        <v>13</v>
      </c>
      <c r="F146" s="21"/>
      <c r="G146" s="21"/>
      <c r="H146" s="24"/>
      <c r="I146" s="14"/>
      <c r="J146" s="16"/>
      <c r="K146" s="15"/>
      <c r="L146" s="14"/>
      <c r="M146" s="16"/>
      <c r="N146" s="15"/>
      <c r="O146" s="14"/>
      <c r="P146" s="16"/>
      <c r="Q146" s="2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 x14ac:dyDescent="0.2">
      <c r="A147" s="4"/>
      <c r="B147" s="23"/>
      <c r="C147" s="224"/>
      <c r="D147" s="224"/>
      <c r="E147" s="20" t="s">
        <v>14</v>
      </c>
      <c r="F147" s="21"/>
      <c r="G147" s="21"/>
      <c r="H147" s="24"/>
      <c r="I147" s="14"/>
      <c r="J147" s="16"/>
      <c r="K147" s="15"/>
      <c r="L147" s="14"/>
      <c r="M147" s="16"/>
      <c r="N147" s="15"/>
      <c r="O147" s="14"/>
      <c r="P147" s="16"/>
      <c r="Q147" s="2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 x14ac:dyDescent="0.2">
      <c r="A148" s="4"/>
      <c r="B148" s="23"/>
      <c r="C148" s="224"/>
      <c r="D148" s="224"/>
      <c r="E148" s="20" t="s">
        <v>15</v>
      </c>
      <c r="F148" s="21"/>
      <c r="G148" s="21"/>
      <c r="H148" s="24"/>
      <c r="I148" s="14"/>
      <c r="J148" s="16"/>
      <c r="K148" s="15"/>
      <c r="L148" s="14"/>
      <c r="M148" s="16"/>
      <c r="N148" s="15"/>
      <c r="O148" s="14"/>
      <c r="P148" s="16"/>
      <c r="Q148" s="2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 x14ac:dyDescent="0.2">
      <c r="A149" s="4"/>
      <c r="B149" s="23"/>
      <c r="C149" s="224"/>
      <c r="D149" s="224"/>
      <c r="E149" s="20" t="s">
        <v>16</v>
      </c>
      <c r="F149" s="21"/>
      <c r="G149" s="21"/>
      <c r="H149" s="24"/>
      <c r="I149" s="14"/>
      <c r="J149" s="16"/>
      <c r="K149" s="15"/>
      <c r="L149" s="14"/>
      <c r="M149" s="16"/>
      <c r="N149" s="15"/>
      <c r="O149" s="14"/>
      <c r="P149" s="16"/>
      <c r="Q149" s="2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 x14ac:dyDescent="0.2">
      <c r="A150" s="4"/>
      <c r="B150" s="27"/>
      <c r="C150" s="225"/>
      <c r="D150" s="225"/>
      <c r="E150" s="28" t="s">
        <v>17</v>
      </c>
      <c r="F150" s="29"/>
      <c r="G150" s="29"/>
      <c r="H150" s="29"/>
      <c r="I150" s="50"/>
      <c r="J150" s="50"/>
      <c r="K150" s="50"/>
      <c r="L150" s="50"/>
      <c r="M150" s="50"/>
      <c r="N150" s="50"/>
      <c r="O150" s="50"/>
      <c r="P150" s="50"/>
      <c r="Q150" s="51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 x14ac:dyDescent="0.2">
      <c r="A151" s="4"/>
      <c r="B151" s="31"/>
      <c r="C151" s="32"/>
      <c r="D151" s="32"/>
      <c r="E151" s="32" t="s">
        <v>18</v>
      </c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4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 x14ac:dyDescent="0.2">
      <c r="A152" s="4"/>
      <c r="B152" s="35" t="s">
        <v>48</v>
      </c>
      <c r="C152" s="223" t="s">
        <v>38</v>
      </c>
      <c r="D152" s="223" t="s">
        <v>38</v>
      </c>
      <c r="E152" s="36" t="s">
        <v>9</v>
      </c>
      <c r="F152" s="37"/>
      <c r="G152" s="37"/>
      <c r="H152" s="38"/>
      <c r="I152" s="37"/>
      <c r="J152" s="39"/>
      <c r="K152" s="40"/>
      <c r="L152" s="37"/>
      <c r="M152" s="39"/>
      <c r="N152" s="40"/>
      <c r="O152" s="37"/>
      <c r="P152" s="39"/>
      <c r="Q152" s="41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 x14ac:dyDescent="0.2">
      <c r="A153" s="4"/>
      <c r="B153" s="19" t="s">
        <v>49</v>
      </c>
      <c r="C153" s="224"/>
      <c r="D153" s="224"/>
      <c r="E153" s="20" t="s">
        <v>11</v>
      </c>
      <c r="F153" s="21"/>
      <c r="G153" s="21"/>
      <c r="H153" s="24"/>
      <c r="I153" s="21"/>
      <c r="J153" s="49"/>
      <c r="K153" s="15"/>
      <c r="L153" s="21"/>
      <c r="M153" s="49"/>
      <c r="N153" s="15"/>
      <c r="O153" s="21"/>
      <c r="P153" s="49"/>
      <c r="Q153" s="2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 x14ac:dyDescent="0.2">
      <c r="A154" s="4"/>
      <c r="B154" s="23"/>
      <c r="C154" s="224"/>
      <c r="D154" s="224"/>
      <c r="E154" s="20" t="s">
        <v>12</v>
      </c>
      <c r="F154" s="21"/>
      <c r="G154" s="21"/>
      <c r="H154" s="24"/>
      <c r="I154" s="14"/>
      <c r="J154" s="16"/>
      <c r="K154" s="15"/>
      <c r="L154" s="14"/>
      <c r="M154" s="16"/>
      <c r="N154" s="15"/>
      <c r="O154" s="14"/>
      <c r="P154" s="16"/>
      <c r="Q154" s="2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 x14ac:dyDescent="0.2">
      <c r="A155" s="4"/>
      <c r="B155" s="23"/>
      <c r="C155" s="224"/>
      <c r="D155" s="224"/>
      <c r="E155" s="20" t="s">
        <v>13</v>
      </c>
      <c r="F155" s="21"/>
      <c r="G155" s="21"/>
      <c r="H155" s="24"/>
      <c r="I155" s="14"/>
      <c r="J155" s="16"/>
      <c r="K155" s="15"/>
      <c r="L155" s="14"/>
      <c r="M155" s="16"/>
      <c r="N155" s="15"/>
      <c r="O155" s="14"/>
      <c r="P155" s="16"/>
      <c r="Q155" s="2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 x14ac:dyDescent="0.2">
      <c r="A156" s="4"/>
      <c r="B156" s="23"/>
      <c r="C156" s="224"/>
      <c r="D156" s="224"/>
      <c r="E156" s="20" t="s">
        <v>14</v>
      </c>
      <c r="F156" s="21">
        <v>0.72</v>
      </c>
      <c r="G156" s="21">
        <v>0.72</v>
      </c>
      <c r="H156" s="24"/>
      <c r="I156" s="14"/>
      <c r="J156" s="16"/>
      <c r="K156" s="15"/>
      <c r="L156" s="14"/>
      <c r="M156" s="16"/>
      <c r="N156" s="15"/>
      <c r="O156" s="14"/>
      <c r="P156" s="16"/>
      <c r="Q156" s="2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 x14ac:dyDescent="0.2">
      <c r="A157" s="4"/>
      <c r="B157" s="23"/>
      <c r="C157" s="224"/>
      <c r="D157" s="224"/>
      <c r="E157" s="20" t="s">
        <v>15</v>
      </c>
      <c r="F157" s="21"/>
      <c r="G157" s="21"/>
      <c r="H157" s="24"/>
      <c r="I157" s="14"/>
      <c r="J157" s="16"/>
      <c r="K157" s="15"/>
      <c r="L157" s="14"/>
      <c r="M157" s="16"/>
      <c r="N157" s="15"/>
      <c r="O157" s="14"/>
      <c r="P157" s="16"/>
      <c r="Q157" s="2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 x14ac:dyDescent="0.2">
      <c r="A158" s="4"/>
      <c r="B158" s="23"/>
      <c r="C158" s="224"/>
      <c r="D158" s="224"/>
      <c r="E158" s="20" t="s">
        <v>16</v>
      </c>
      <c r="F158" s="21"/>
      <c r="G158" s="21"/>
      <c r="H158" s="24"/>
      <c r="I158" s="14"/>
      <c r="J158" s="16"/>
      <c r="K158" s="15"/>
      <c r="L158" s="14"/>
      <c r="M158" s="16"/>
      <c r="N158" s="15"/>
      <c r="O158" s="14"/>
      <c r="P158" s="16"/>
      <c r="Q158" s="2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 x14ac:dyDescent="0.2">
      <c r="A159" s="4"/>
      <c r="B159" s="27"/>
      <c r="C159" s="225"/>
      <c r="D159" s="225"/>
      <c r="E159" s="28" t="s">
        <v>17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0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 x14ac:dyDescent="0.2">
      <c r="A160" s="4"/>
      <c r="B160" s="42"/>
      <c r="C160" s="43"/>
      <c r="D160" s="43"/>
      <c r="E160" s="44" t="s">
        <v>18</v>
      </c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6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 x14ac:dyDescent="0.2">
      <c r="A161" s="4"/>
      <c r="B161" s="35" t="s">
        <v>50</v>
      </c>
      <c r="C161" s="223" t="s">
        <v>38</v>
      </c>
      <c r="D161" s="223" t="s">
        <v>38</v>
      </c>
      <c r="E161" s="36" t="s">
        <v>9</v>
      </c>
      <c r="F161" s="60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41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 x14ac:dyDescent="0.2">
      <c r="A162" s="4"/>
      <c r="B162" s="19" t="s">
        <v>51</v>
      </c>
      <c r="C162" s="224"/>
      <c r="D162" s="224"/>
      <c r="E162" s="20" t="s">
        <v>11</v>
      </c>
      <c r="F162" s="56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 x14ac:dyDescent="0.2">
      <c r="A163" s="4"/>
      <c r="B163" s="23"/>
      <c r="C163" s="224"/>
      <c r="D163" s="224"/>
      <c r="E163" s="20" t="s">
        <v>12</v>
      </c>
      <c r="F163" s="56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 x14ac:dyDescent="0.2">
      <c r="A164" s="4"/>
      <c r="B164" s="23"/>
      <c r="C164" s="224"/>
      <c r="D164" s="224"/>
      <c r="E164" s="20" t="s">
        <v>13</v>
      </c>
      <c r="F164" s="56">
        <v>0.66</v>
      </c>
      <c r="G164" s="21">
        <v>0.66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 x14ac:dyDescent="0.2">
      <c r="A165" s="4"/>
      <c r="B165" s="23"/>
      <c r="C165" s="224"/>
      <c r="D165" s="224"/>
      <c r="E165" s="20" t="s">
        <v>14</v>
      </c>
      <c r="F165" s="56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 x14ac:dyDescent="0.2">
      <c r="A166" s="4"/>
      <c r="B166" s="23"/>
      <c r="C166" s="224"/>
      <c r="D166" s="224"/>
      <c r="E166" s="20" t="s">
        <v>15</v>
      </c>
      <c r="F166" s="56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 x14ac:dyDescent="0.2">
      <c r="A167" s="4"/>
      <c r="B167" s="23"/>
      <c r="C167" s="224"/>
      <c r="D167" s="224"/>
      <c r="E167" s="20" t="s">
        <v>16</v>
      </c>
      <c r="F167" s="56"/>
      <c r="G167" s="21"/>
      <c r="H167" s="24"/>
      <c r="I167" s="14"/>
      <c r="J167" s="16"/>
      <c r="K167" s="15"/>
      <c r="L167" s="14"/>
      <c r="M167" s="16"/>
      <c r="N167" s="15"/>
      <c r="O167" s="14"/>
      <c r="P167" s="16"/>
      <c r="Q167" s="2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 x14ac:dyDescent="0.2">
      <c r="A168" s="4"/>
      <c r="B168" s="27"/>
      <c r="C168" s="225"/>
      <c r="D168" s="225"/>
      <c r="E168" s="28" t="s">
        <v>17</v>
      </c>
      <c r="F168" s="5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51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 x14ac:dyDescent="0.2">
      <c r="A169" s="4"/>
      <c r="B169" s="42"/>
      <c r="C169" s="43"/>
      <c r="D169" s="43"/>
      <c r="E169" s="44" t="s">
        <v>18</v>
      </c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6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 x14ac:dyDescent="0.2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 x14ac:dyDescent="0.2">
      <c r="A204" s="5"/>
      <c r="B204" s="5"/>
      <c r="C204" s="5"/>
      <c r="D204" s="5"/>
      <c r="E204" s="5"/>
      <c r="F204" s="7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0">
    <mergeCell ref="B2:Q2"/>
    <mergeCell ref="B3:Q3"/>
    <mergeCell ref="B4:Q4"/>
    <mergeCell ref="B5:Q5"/>
    <mergeCell ref="C8:C15"/>
    <mergeCell ref="D8:D15"/>
    <mergeCell ref="D17:D24"/>
    <mergeCell ref="C17:C24"/>
    <mergeCell ref="C26:C33"/>
    <mergeCell ref="D26:D33"/>
    <mergeCell ref="C35:C42"/>
    <mergeCell ref="D35:D42"/>
    <mergeCell ref="C44:C51"/>
    <mergeCell ref="D44:D51"/>
    <mergeCell ref="C53:C60"/>
    <mergeCell ref="D53:D60"/>
    <mergeCell ref="C62:C69"/>
    <mergeCell ref="D62:D69"/>
    <mergeCell ref="C71:C78"/>
    <mergeCell ref="D71:D78"/>
    <mergeCell ref="D80:D87"/>
    <mergeCell ref="C80:C87"/>
    <mergeCell ref="C89:C96"/>
    <mergeCell ref="D89:D96"/>
    <mergeCell ref="C98:C105"/>
    <mergeCell ref="D98:D105"/>
    <mergeCell ref="C107:C114"/>
    <mergeCell ref="D107:D114"/>
    <mergeCell ref="C143:C150"/>
    <mergeCell ref="C152:C159"/>
    <mergeCell ref="D152:D159"/>
    <mergeCell ref="C161:C168"/>
    <mergeCell ref="D161:D168"/>
    <mergeCell ref="C116:C123"/>
    <mergeCell ref="D116:D123"/>
    <mergeCell ref="C125:C132"/>
    <mergeCell ref="D125:D132"/>
    <mergeCell ref="C134:C141"/>
    <mergeCell ref="D134:D141"/>
    <mergeCell ref="D143:D150"/>
  </mergeCells>
  <conditionalFormatting sqref="B8 D8">
    <cfRule type="expression" dxfId="515" priority="1">
      <formula>#REF!="Total"</formula>
    </cfRule>
  </conditionalFormatting>
  <conditionalFormatting sqref="B8:B15 F26:H30 G31:H32 D80:E80 F80:H86 B80:B87 E81:E86 E87:Q87 B88:Q88 D89:E89 F89:H95 B89:B96 E90:E95 E96:Q96 B97:Q97 D116:E116 F116:H122 B116:B123 E117:E122 E123:Q123 B124:Q124 D125:E125 F125:H131 B125:B132 E126:E131 E132:Q132 B133:Q133 D134:E134 F134:H140 B134:B141 E135:E140 E141:Q141 B142:Q142 D143:E143 F143:H149 B143:B150 E144:E149 I145:K145 E150:Q150 B151:Q151 C152:D152 E152:H158 B152:B159 E159:Q159 B160:Q160 C161:E161 F161:P166 B161:B168 E162:E167 F167:H167 E168:Q168 B169:Q169">
    <cfRule type="expression" dxfId="514" priority="2">
      <formula>$E8="Total"</formula>
    </cfRule>
  </conditionalFormatting>
  <conditionalFormatting sqref="B17:B24">
    <cfRule type="expression" dxfId="513" priority="3">
      <formula>$E17="Total"</formula>
    </cfRule>
  </conditionalFormatting>
  <conditionalFormatting sqref="B26:B33">
    <cfRule type="expression" dxfId="512" priority="4">
      <formula>$E26="Total"</formula>
    </cfRule>
  </conditionalFormatting>
  <conditionalFormatting sqref="B35:B42">
    <cfRule type="expression" dxfId="511" priority="5">
      <formula>$E35="Total"</formula>
    </cfRule>
  </conditionalFormatting>
  <conditionalFormatting sqref="B44:B51">
    <cfRule type="expression" dxfId="510" priority="6">
      <formula>$E44="Total"</formula>
    </cfRule>
  </conditionalFormatting>
  <conditionalFormatting sqref="B53:B60">
    <cfRule type="expression" dxfId="509" priority="7">
      <formula>$E53="Total"</formula>
    </cfRule>
  </conditionalFormatting>
  <conditionalFormatting sqref="B62:B69">
    <cfRule type="expression" dxfId="508" priority="8">
      <formula>$E62="Total"</formula>
    </cfRule>
  </conditionalFormatting>
  <conditionalFormatting sqref="B71:B78">
    <cfRule type="expression" dxfId="507" priority="9">
      <formula>$E71="Total"</formula>
    </cfRule>
  </conditionalFormatting>
  <conditionalFormatting sqref="B80 D80">
    <cfRule type="expression" dxfId="506" priority="10">
      <formula>$E124="Total"</formula>
    </cfRule>
  </conditionalFormatting>
  <conditionalFormatting sqref="B89">
    <cfRule type="expression" dxfId="505" priority="11">
      <formula>$E88="Total"</formula>
    </cfRule>
  </conditionalFormatting>
  <conditionalFormatting sqref="B98:B105">
    <cfRule type="expression" dxfId="504" priority="12">
      <formula>$E98="Total"</formula>
    </cfRule>
  </conditionalFormatting>
  <conditionalFormatting sqref="B107:B114">
    <cfRule type="expression" dxfId="503" priority="13">
      <formula>$E107="Total"</formula>
    </cfRule>
  </conditionalFormatting>
  <conditionalFormatting sqref="B143 D143">
    <cfRule type="expression" dxfId="502" priority="14">
      <formula>$E97="Total"</formula>
    </cfRule>
  </conditionalFormatting>
  <conditionalFormatting sqref="B7:Q7 E9:E14 F10:H14 E15:Q15 E18:E23 F19:H23 E24:Q24 E27:E32 E33:Q33 E36:E41 E42:Q42 E45:E50 E51:Q51 E60:Q60 D62:E62 E63:E68 E69:Q69 E72:E77 E78:Q78 E105:Q105 E107:E113 E114:Q114">
    <cfRule type="expression" dxfId="501" priority="15">
      <formula>$E7="Total"</formula>
    </cfRule>
  </conditionalFormatting>
  <conditionalFormatting sqref="B16:Q16">
    <cfRule type="expression" dxfId="500" priority="16">
      <formula>$E16="Total"</formula>
    </cfRule>
  </conditionalFormatting>
  <conditionalFormatting sqref="B25:Q25">
    <cfRule type="expression" dxfId="499" priority="17">
      <formula>$E25="Total"</formula>
    </cfRule>
  </conditionalFormatting>
  <conditionalFormatting sqref="B34:Q34">
    <cfRule type="expression" dxfId="498" priority="18">
      <formula>$E34="Total"</formula>
    </cfRule>
  </conditionalFormatting>
  <conditionalFormatting sqref="B43:Q43">
    <cfRule type="expression" dxfId="497" priority="19">
      <formula>$E43="Total"</formula>
    </cfRule>
  </conditionalFormatting>
  <conditionalFormatting sqref="B52:Q52">
    <cfRule type="expression" dxfId="496" priority="20">
      <formula>$E52="Total"</formula>
    </cfRule>
  </conditionalFormatting>
  <conditionalFormatting sqref="B61:Q61">
    <cfRule type="expression" dxfId="495" priority="21">
      <formula>$E61="Total"</formula>
    </cfRule>
  </conditionalFormatting>
  <conditionalFormatting sqref="B70:Q70">
    <cfRule type="expression" dxfId="494" priority="22">
      <formula>$E70="Total"</formula>
    </cfRule>
  </conditionalFormatting>
  <conditionalFormatting sqref="B79:Q79">
    <cfRule type="expression" dxfId="493" priority="23">
      <formula>$E79="Total"</formula>
    </cfRule>
  </conditionalFormatting>
  <conditionalFormatting sqref="B106:Q106">
    <cfRule type="expression" dxfId="492" priority="24">
      <formula>$E106="Total"</formula>
    </cfRule>
  </conditionalFormatting>
  <conditionalFormatting sqref="B115:Q115">
    <cfRule type="expression" dxfId="491" priority="25">
      <formula>$E115="Total"</formula>
    </cfRule>
  </conditionalFormatting>
  <conditionalFormatting sqref="C53:D53">
    <cfRule type="expression" dxfId="490" priority="26">
      <formula>$E53="Total"</formula>
    </cfRule>
  </conditionalFormatting>
  <conditionalFormatting sqref="C107:D107">
    <cfRule type="expression" dxfId="489" priority="27">
      <formula>$E107="Total"</formula>
    </cfRule>
  </conditionalFormatting>
  <conditionalFormatting sqref="C26:E26">
    <cfRule type="expression" dxfId="488" priority="28">
      <formula>$E26="Total"</formula>
    </cfRule>
  </conditionalFormatting>
  <conditionalFormatting sqref="C35:E35">
    <cfRule type="expression" dxfId="487" priority="29">
      <formula>$E35="Total"</formula>
    </cfRule>
  </conditionalFormatting>
  <conditionalFormatting sqref="C44:E44">
    <cfRule type="expression" dxfId="486" priority="30">
      <formula>$E44="Total"</formula>
    </cfRule>
  </conditionalFormatting>
  <conditionalFormatting sqref="C71:E71">
    <cfRule type="expression" dxfId="485" priority="31">
      <formula>$E71="Total"</formula>
    </cfRule>
  </conditionalFormatting>
  <conditionalFormatting sqref="C8:H8">
    <cfRule type="expression" dxfId="484" priority="32">
      <formula>$E8="Total"</formula>
    </cfRule>
  </conditionalFormatting>
  <conditionalFormatting sqref="C17:H17">
    <cfRule type="expression" dxfId="483" priority="33">
      <formula>$E17="Total"</formula>
    </cfRule>
  </conditionalFormatting>
  <conditionalFormatting sqref="D44">
    <cfRule type="expression" dxfId="482" priority="34">
      <formula>$E43="Total"</formula>
    </cfRule>
  </conditionalFormatting>
  <conditionalFormatting sqref="D62">
    <cfRule type="expression" dxfId="481" priority="35">
      <formula>$E169="Total"</formula>
    </cfRule>
  </conditionalFormatting>
  <conditionalFormatting sqref="D89">
    <cfRule type="expression" dxfId="480" priority="36">
      <formula>$E88="Total"</formula>
    </cfRule>
  </conditionalFormatting>
  <conditionalFormatting sqref="D98">
    <cfRule type="expression" dxfId="479" priority="37">
      <formula>$E98="Total"</formula>
    </cfRule>
  </conditionalFormatting>
  <conditionalFormatting sqref="E53:H59">
    <cfRule type="expression" dxfId="478" priority="38">
      <formula>$E53="Total"</formula>
    </cfRule>
  </conditionalFormatting>
  <conditionalFormatting sqref="E98:H104">
    <cfRule type="expression" dxfId="477" priority="39">
      <formula>$E98="Total"</formula>
    </cfRule>
  </conditionalFormatting>
  <conditionalFormatting sqref="F31">
    <cfRule type="expression" dxfId="476" priority="40">
      <formula>$E32="Total"</formula>
    </cfRule>
  </conditionalFormatting>
  <conditionalFormatting sqref="F107:F113">
    <cfRule type="expression" dxfId="475" priority="41">
      <formula>$B107="Total"</formula>
    </cfRule>
  </conditionalFormatting>
  <conditionalFormatting sqref="F37:H41">
    <cfRule type="expression" dxfId="474" priority="42">
      <formula>$E37="Total"</formula>
    </cfRule>
  </conditionalFormatting>
  <conditionalFormatting sqref="F44:H50">
    <cfRule type="expression" dxfId="473" priority="43">
      <formula>$E44="Total"</formula>
    </cfRule>
  </conditionalFormatting>
  <conditionalFormatting sqref="F62:H68">
    <cfRule type="expression" dxfId="472" priority="44">
      <formula>$E62="Total"</formula>
    </cfRule>
  </conditionalFormatting>
  <conditionalFormatting sqref="F71:H77">
    <cfRule type="expression" dxfId="471" priority="45">
      <formula>$E71="Total"</formula>
    </cfRule>
  </conditionalFormatting>
  <conditionalFormatting sqref="F9:Q9">
    <cfRule type="expression" dxfId="470" priority="46">
      <formula>$E9="Total"</formula>
    </cfRule>
  </conditionalFormatting>
  <conditionalFormatting sqref="F18:Q18">
    <cfRule type="expression" dxfId="469" priority="47">
      <formula>$E18="Total"</formula>
    </cfRule>
  </conditionalFormatting>
  <conditionalFormatting sqref="F35:Q36">
    <cfRule type="expression" dxfId="468" priority="48">
      <formula>$E35="Total"</formula>
    </cfRule>
  </conditionalFormatting>
  <conditionalFormatting sqref="G107:H113">
    <cfRule type="expression" dxfId="467" priority="49">
      <formula>$E107="Total"</formula>
    </cfRule>
  </conditionalFormatting>
  <conditionalFormatting sqref="I23:Q23">
    <cfRule type="expression" dxfId="466" priority="50">
      <formula>$E23="Total"</formula>
    </cfRule>
  </conditionalFormatting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E7DC-8289-E649-BD80-1CF22B01C53D}">
  <dimension ref="A1:XFD955"/>
  <sheetViews>
    <sheetView topLeftCell="A56" workbookViewId="0">
      <selection activeCell="Q148" sqref="Q148"/>
    </sheetView>
  </sheetViews>
  <sheetFormatPr baseColWidth="10" defaultColWidth="14.5" defaultRowHeight="15" x14ac:dyDescent="0.2"/>
  <cols>
    <col min="1" max="1" width="3.83203125" customWidth="1"/>
    <col min="2" max="2" width="28.6640625" customWidth="1"/>
    <col min="3" max="4" width="14.6640625" customWidth="1"/>
    <col min="5" max="5" width="40.6640625" customWidth="1"/>
    <col min="6" max="8" width="8.6640625" customWidth="1"/>
    <col min="9" max="17" width="8.83203125" customWidth="1"/>
    <col min="18" max="26" width="8.6640625" customWidth="1"/>
  </cols>
  <sheetData>
    <row r="1" spans="1:26 16384:16384" ht="12" customHeight="1" thickBot="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 16384:16384" ht="12" customHeight="1" x14ac:dyDescent="0.2">
      <c r="A2" s="4"/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  <c r="R2" s="5"/>
      <c r="S2" s="5"/>
      <c r="T2" s="5"/>
      <c r="U2" s="5"/>
      <c r="V2" s="5"/>
      <c r="W2" s="5"/>
      <c r="X2" s="5"/>
      <c r="Y2" s="5"/>
      <c r="Z2" s="5"/>
    </row>
    <row r="3" spans="1:26 16384:16384" ht="12" customHeight="1" x14ac:dyDescent="0.2">
      <c r="A3" s="4"/>
      <c r="B3" s="229" t="s">
        <v>368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  <c r="R3" s="5"/>
      <c r="S3" s="5"/>
      <c r="T3" s="5"/>
      <c r="U3" s="5"/>
      <c r="V3" s="5"/>
      <c r="W3" s="5"/>
      <c r="X3" s="5"/>
      <c r="Y3" s="5"/>
      <c r="Z3" s="5"/>
    </row>
    <row r="4" spans="1:26 16384:16384" ht="12" customHeight="1" x14ac:dyDescent="0.2">
      <c r="A4" s="4"/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  <c r="R4" s="5"/>
      <c r="S4" s="5"/>
      <c r="T4" s="5"/>
      <c r="U4" s="5"/>
      <c r="V4" s="5"/>
      <c r="W4" s="5"/>
      <c r="X4" s="5"/>
      <c r="Y4" s="5"/>
      <c r="Z4" s="5"/>
    </row>
    <row r="5" spans="1:26 16384:16384" ht="12" customHeight="1" thickBot="1" x14ac:dyDescent="0.25">
      <c r="A5" s="4"/>
      <c r="B5" s="232" t="s">
        <v>52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5"/>
      <c r="S5" s="5"/>
      <c r="T5" s="5"/>
      <c r="U5" s="5"/>
      <c r="V5" s="5"/>
      <c r="W5" s="5"/>
      <c r="X5" s="5"/>
      <c r="Y5" s="5"/>
      <c r="Z5" s="5"/>
    </row>
    <row r="6" spans="1:26 16384:16384" ht="12" customHeight="1" thickBot="1" x14ac:dyDescent="0.25">
      <c r="A6" s="4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spans="1:26 16384:16384" ht="63.75" customHeight="1" thickBot="1" x14ac:dyDescent="0.25">
      <c r="A7" s="4"/>
      <c r="B7" s="8" t="s">
        <v>4</v>
      </c>
      <c r="C7" s="9" t="s">
        <v>5</v>
      </c>
      <c r="D7" s="9" t="s">
        <v>6</v>
      </c>
      <c r="E7" s="10"/>
      <c r="F7" s="2">
        <v>45108</v>
      </c>
      <c r="G7" s="2">
        <v>45139</v>
      </c>
      <c r="H7" s="2">
        <v>45170</v>
      </c>
      <c r="I7" s="2">
        <v>45200</v>
      </c>
      <c r="J7" s="2">
        <v>45231</v>
      </c>
      <c r="K7" s="2">
        <v>45261</v>
      </c>
      <c r="L7" s="2">
        <v>45292</v>
      </c>
      <c r="M7" s="2">
        <v>45323</v>
      </c>
      <c r="N7" s="2">
        <v>45352</v>
      </c>
      <c r="O7" s="2">
        <v>45383</v>
      </c>
      <c r="P7" s="2">
        <v>45413</v>
      </c>
      <c r="Q7" s="2">
        <v>45444</v>
      </c>
      <c r="R7" s="5"/>
      <c r="S7" s="5"/>
      <c r="T7" s="5"/>
      <c r="U7" s="5"/>
      <c r="V7" s="5"/>
      <c r="W7" s="5"/>
      <c r="X7" s="5"/>
      <c r="Y7" s="5"/>
      <c r="Z7" s="5"/>
    </row>
    <row r="8" spans="1:26 16384:16384" ht="12" customHeight="1" x14ac:dyDescent="0.2">
      <c r="A8" s="4"/>
      <c r="B8" s="11" t="s">
        <v>7</v>
      </c>
      <c r="C8" s="235" t="s">
        <v>8</v>
      </c>
      <c r="D8" s="235" t="s">
        <v>8</v>
      </c>
      <c r="E8" s="13" t="s">
        <v>9</v>
      </c>
      <c r="F8" s="14"/>
      <c r="G8" s="14"/>
      <c r="H8" s="15"/>
      <c r="I8" s="14"/>
      <c r="J8" s="16"/>
      <c r="K8" s="17"/>
      <c r="L8" s="14"/>
      <c r="M8" s="16"/>
      <c r="N8" s="17"/>
      <c r="O8" s="14"/>
      <c r="P8" s="16"/>
      <c r="Q8" s="18"/>
      <c r="R8" s="5"/>
      <c r="S8" s="5"/>
      <c r="T8" s="5"/>
      <c r="U8" s="5"/>
      <c r="V8" s="5"/>
      <c r="W8" s="5"/>
      <c r="X8" s="5"/>
      <c r="Y8" s="5"/>
      <c r="Z8" s="5"/>
    </row>
    <row r="9" spans="1:26 16384:16384" ht="12" customHeight="1" x14ac:dyDescent="0.2">
      <c r="A9" s="4"/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5"/>
      <c r="S9" s="5"/>
      <c r="T9" s="5"/>
      <c r="U9" s="5"/>
      <c r="V9" s="5"/>
      <c r="W9" s="5"/>
      <c r="X9" s="5"/>
      <c r="Y9" s="5"/>
      <c r="Z9" s="5"/>
    </row>
    <row r="10" spans="1:26 16384:16384" ht="12" customHeight="1" x14ac:dyDescent="0.2">
      <c r="A10" s="4"/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  <c r="R10" s="5"/>
      <c r="S10" s="5"/>
      <c r="T10" s="5"/>
      <c r="U10" s="5"/>
      <c r="V10" s="5"/>
      <c r="W10" s="5"/>
      <c r="X10" s="5"/>
      <c r="Y10" s="5"/>
      <c r="Z10" s="5"/>
    </row>
    <row r="11" spans="1:26 16384:16384" ht="12" customHeight="1" x14ac:dyDescent="0.2">
      <c r="A11" s="4"/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  <c r="R11" s="5"/>
      <c r="S11" s="5"/>
      <c r="T11" s="5"/>
      <c r="U11" s="5"/>
      <c r="V11" s="5"/>
      <c r="W11" s="5"/>
      <c r="X11" s="5"/>
      <c r="Y11" s="5"/>
      <c r="Z11" s="5"/>
    </row>
    <row r="12" spans="1:26 16384:16384" ht="12" customHeight="1" x14ac:dyDescent="0.2">
      <c r="A12" s="4"/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  <c r="R12" s="5"/>
      <c r="S12" s="5"/>
      <c r="T12" s="5"/>
      <c r="U12" s="5"/>
      <c r="V12" s="5"/>
      <c r="W12" s="5"/>
      <c r="X12" s="5"/>
      <c r="Y12" s="5"/>
      <c r="Z12" s="5"/>
    </row>
    <row r="13" spans="1:26 16384:16384" ht="12" customHeight="1" x14ac:dyDescent="0.2">
      <c r="A13" s="4"/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  <c r="R13" s="5"/>
      <c r="S13" s="5"/>
      <c r="T13" s="5"/>
      <c r="U13" s="5"/>
      <c r="V13" s="5"/>
      <c r="W13" s="5"/>
      <c r="X13" s="5"/>
      <c r="Y13" s="5"/>
      <c r="Z13" s="5"/>
    </row>
    <row r="14" spans="1:26 16384:16384" ht="12" customHeight="1" x14ac:dyDescent="0.2">
      <c r="A14" s="4"/>
      <c r="B14" s="23"/>
      <c r="C14" s="224"/>
      <c r="D14" s="224"/>
      <c r="E14" s="20" t="s">
        <v>16</v>
      </c>
      <c r="F14" s="21">
        <v>0.05</v>
      </c>
      <c r="G14" s="21">
        <v>0.05</v>
      </c>
      <c r="H14" s="24">
        <v>0.05</v>
      </c>
      <c r="I14" s="14">
        <v>0.05</v>
      </c>
      <c r="J14" s="16">
        <v>0.05</v>
      </c>
      <c r="K14" s="15">
        <v>0.1</v>
      </c>
      <c r="L14" s="14">
        <v>0.1</v>
      </c>
      <c r="M14" s="16">
        <v>0.05</v>
      </c>
      <c r="N14" s="15">
        <v>0.05</v>
      </c>
      <c r="O14" s="14">
        <v>0.05</v>
      </c>
      <c r="P14" s="16">
        <v>0.05</v>
      </c>
      <c r="Q14" s="25">
        <v>0.05</v>
      </c>
      <c r="R14" s="5"/>
      <c r="S14" s="5" t="s">
        <v>53</v>
      </c>
      <c r="T14" s="5"/>
      <c r="U14" s="5"/>
      <c r="V14" s="5"/>
      <c r="W14" s="5"/>
      <c r="X14" s="5"/>
      <c r="Y14" s="5"/>
      <c r="Z14" s="5"/>
    </row>
    <row r="15" spans="1:26 16384:16384" ht="12" customHeight="1" x14ac:dyDescent="0.2">
      <c r="A15" s="26"/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5"/>
      <c r="S15" s="5"/>
      <c r="T15" s="5"/>
      <c r="U15" s="5"/>
      <c r="V15" s="5"/>
      <c r="W15" s="5"/>
      <c r="X15" s="5"/>
      <c r="Y15" s="5"/>
      <c r="Z15" s="5"/>
    </row>
    <row r="16" spans="1:26 16384:16384" ht="12" customHeight="1" thickBot="1" x14ac:dyDescent="0.25">
      <c r="A16" s="4"/>
      <c r="B16" s="31"/>
      <c r="C16" s="32"/>
      <c r="D16" s="32"/>
      <c r="E16" s="32" t="s">
        <v>18</v>
      </c>
      <c r="F16" s="33">
        <f>+SUM(F8:F15)</f>
        <v>0.05</v>
      </c>
      <c r="G16" s="33">
        <f>+SUM(G8:G15)</f>
        <v>0.05</v>
      </c>
      <c r="H16" s="33">
        <f>+SUM(H8:H15)</f>
        <v>0.05</v>
      </c>
      <c r="I16" s="33">
        <f>+SUM(I8:I15)</f>
        <v>0.05</v>
      </c>
      <c r="J16" s="33">
        <f>+SUM(J8:J15)</f>
        <v>0.05</v>
      </c>
      <c r="K16" s="33">
        <f>+SUM(K8:K15)</f>
        <v>0.1</v>
      </c>
      <c r="L16" s="33">
        <f>+SUM(L8:L15)</f>
        <v>0.1</v>
      </c>
      <c r="M16" s="33">
        <f>+SUM(M8:M15)</f>
        <v>0.05</v>
      </c>
      <c r="N16" s="33">
        <f>+SUM(N8:N15)</f>
        <v>0.05</v>
      </c>
      <c r="O16" s="33">
        <f>+SUM(O8:O15)</f>
        <v>0.05</v>
      </c>
      <c r="P16" s="33">
        <f>+SUM(P8:P15)</f>
        <v>0.05</v>
      </c>
      <c r="Q16" s="33">
        <f>+SUM(Q8:Q15)</f>
        <v>0.05</v>
      </c>
      <c r="R16" s="5"/>
      <c r="S16" s="5"/>
      <c r="T16" s="5"/>
      <c r="U16" s="5"/>
      <c r="V16" s="5"/>
      <c r="W16" s="5"/>
      <c r="X16" s="5"/>
      <c r="Y16" s="5"/>
      <c r="Z16" s="5"/>
      <c r="XFD16" s="261"/>
    </row>
    <row r="17" spans="1:26" ht="12" customHeight="1" x14ac:dyDescent="0.2">
      <c r="A17" s="4"/>
      <c r="B17" s="35" t="s">
        <v>19</v>
      </c>
      <c r="C17" s="223" t="s">
        <v>8</v>
      </c>
      <c r="D17" s="223" t="s">
        <v>8</v>
      </c>
      <c r="E17" s="36" t="s">
        <v>9</v>
      </c>
      <c r="F17" s="37">
        <v>0.05</v>
      </c>
      <c r="G17" s="37">
        <v>0.05</v>
      </c>
      <c r="H17" s="38">
        <v>0.05</v>
      </c>
      <c r="I17" s="37">
        <v>0.05</v>
      </c>
      <c r="J17" s="39">
        <v>0.05</v>
      </c>
      <c r="K17" s="40">
        <v>0.05</v>
      </c>
      <c r="L17" s="37">
        <v>0.05</v>
      </c>
      <c r="M17" s="39">
        <v>0.05</v>
      </c>
      <c r="N17" s="40">
        <v>0.05</v>
      </c>
      <c r="O17" s="37">
        <v>0.05</v>
      </c>
      <c r="P17" s="39">
        <v>0.05</v>
      </c>
      <c r="Q17" s="41">
        <v>0.05</v>
      </c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 x14ac:dyDescent="0.2">
      <c r="A18" s="4"/>
      <c r="B18" s="19" t="s">
        <v>20</v>
      </c>
      <c r="C18" s="224"/>
      <c r="D18" s="224"/>
      <c r="E18" s="20" t="s">
        <v>11</v>
      </c>
      <c r="F18" s="21">
        <v>0.05</v>
      </c>
      <c r="G18" s="21">
        <v>0.05</v>
      </c>
      <c r="H18" s="21">
        <v>0.05</v>
      </c>
      <c r="I18" s="21">
        <v>0.05</v>
      </c>
      <c r="J18" s="21">
        <v>0.05</v>
      </c>
      <c r="K18" s="21">
        <v>0.05</v>
      </c>
      <c r="L18" s="21">
        <v>0.05</v>
      </c>
      <c r="M18" s="21">
        <v>0.05</v>
      </c>
      <c r="N18" s="21">
        <v>0.05</v>
      </c>
      <c r="O18" s="21">
        <v>0.05</v>
      </c>
      <c r="P18" s="21">
        <v>0.05</v>
      </c>
      <c r="Q18" s="22">
        <v>0.05</v>
      </c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 x14ac:dyDescent="0.2">
      <c r="A19" s="4"/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 x14ac:dyDescent="0.2">
      <c r="A20" s="4"/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 x14ac:dyDescent="0.2">
      <c r="A21" s="4"/>
      <c r="B21" s="23"/>
      <c r="C21" s="224"/>
      <c r="D21" s="224"/>
      <c r="E21" s="20" t="s">
        <v>14</v>
      </c>
      <c r="F21" s="21">
        <v>0.05</v>
      </c>
      <c r="G21" s="21">
        <v>0.05</v>
      </c>
      <c r="H21" s="24">
        <v>0.05</v>
      </c>
      <c r="I21" s="14">
        <v>0.05</v>
      </c>
      <c r="J21" s="16">
        <v>0.05</v>
      </c>
      <c r="K21" s="15">
        <v>0.05</v>
      </c>
      <c r="L21" s="14">
        <v>0.05</v>
      </c>
      <c r="M21" s="16">
        <v>0.05</v>
      </c>
      <c r="N21" s="15">
        <v>0.05</v>
      </c>
      <c r="O21" s="14">
        <v>0.05</v>
      </c>
      <c r="P21" s="16">
        <v>0.05</v>
      </c>
      <c r="Q21" s="25">
        <v>0.05</v>
      </c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 x14ac:dyDescent="0.2">
      <c r="A22" s="4"/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 x14ac:dyDescent="0.2">
      <c r="A23" s="4"/>
      <c r="B23" s="23"/>
      <c r="C23" s="224"/>
      <c r="D23" s="224"/>
      <c r="E23" s="20" t="s">
        <v>16</v>
      </c>
      <c r="F23" s="21">
        <v>0.05</v>
      </c>
      <c r="G23" s="21">
        <v>0.05</v>
      </c>
      <c r="H23" s="21">
        <v>0.05</v>
      </c>
      <c r="I23" s="21">
        <v>0.05</v>
      </c>
      <c r="J23" s="21">
        <v>0.05</v>
      </c>
      <c r="K23" s="21">
        <v>0.05</v>
      </c>
      <c r="L23" s="21">
        <v>0.05</v>
      </c>
      <c r="M23" s="21">
        <v>0.05</v>
      </c>
      <c r="N23" s="21">
        <v>0.05</v>
      </c>
      <c r="O23" s="21">
        <v>0.05</v>
      </c>
      <c r="P23" s="21">
        <v>0.05</v>
      </c>
      <c r="Q23" s="22">
        <v>0.05</v>
      </c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 x14ac:dyDescent="0.2">
      <c r="A24" s="26"/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 thickBot="1" x14ac:dyDescent="0.25">
      <c r="A25" s="4"/>
      <c r="B25" s="42"/>
      <c r="C25" s="43"/>
      <c r="D25" s="43"/>
      <c r="E25" s="44" t="s">
        <v>18</v>
      </c>
      <c r="F25" s="33">
        <f>+SUM(F17:F24)</f>
        <v>0.2</v>
      </c>
      <c r="G25" s="33">
        <f>+SUM(G17:G24)</f>
        <v>0.2</v>
      </c>
      <c r="H25" s="33">
        <f>+SUM(H17:H24)</f>
        <v>0.2</v>
      </c>
      <c r="I25" s="33">
        <f>+SUM(I17:I24)</f>
        <v>0.2</v>
      </c>
      <c r="J25" s="33">
        <f>+SUM(J17:J24)</f>
        <v>0.2</v>
      </c>
      <c r="K25" s="33">
        <f>+SUM(K17:K24)</f>
        <v>0.2</v>
      </c>
      <c r="L25" s="33">
        <f>+SUM(L17:L24)</f>
        <v>0.2</v>
      </c>
      <c r="M25" s="33">
        <f>+SUM(M17:M24)</f>
        <v>0.2</v>
      </c>
      <c r="N25" s="33">
        <f>+SUM(N17:N24)</f>
        <v>0.2</v>
      </c>
      <c r="O25" s="33">
        <f>+SUM(O17:O24)</f>
        <v>0.2</v>
      </c>
      <c r="P25" s="33">
        <f>+SUM(P17:P24)</f>
        <v>0.2</v>
      </c>
      <c r="Q25" s="33">
        <f>+SUM(Q17:Q24)</f>
        <v>0.2</v>
      </c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B26" s="35" t="s">
        <v>54</v>
      </c>
      <c r="C26" s="223" t="s">
        <v>8</v>
      </c>
      <c r="D26" s="223" t="s">
        <v>38</v>
      </c>
      <c r="E26" s="36" t="s">
        <v>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1:26" ht="15.75" customHeight="1" x14ac:dyDescent="0.2">
      <c r="B27" s="19" t="s">
        <v>55</v>
      </c>
      <c r="C27" s="224"/>
      <c r="D27" s="224"/>
      <c r="E27" s="20" t="s">
        <v>11</v>
      </c>
      <c r="F27" s="21"/>
      <c r="G27" s="21"/>
      <c r="H27" s="21">
        <v>0.1</v>
      </c>
      <c r="I27" s="21">
        <v>0.15</v>
      </c>
      <c r="J27" s="21">
        <v>0.15</v>
      </c>
      <c r="K27" s="21">
        <v>0.15</v>
      </c>
      <c r="L27" s="21">
        <v>0.15</v>
      </c>
      <c r="M27" s="21">
        <v>0.15</v>
      </c>
      <c r="N27" s="21">
        <v>0.15</v>
      </c>
      <c r="O27" s="21">
        <v>0.15</v>
      </c>
      <c r="P27" s="21">
        <v>0.15</v>
      </c>
      <c r="Q27" s="22">
        <v>0.15</v>
      </c>
    </row>
    <row r="28" spans="1:26" ht="15.75" customHeight="1" x14ac:dyDescent="0.2">
      <c r="B28" s="23"/>
      <c r="C28" s="224"/>
      <c r="D28" s="224"/>
      <c r="E28" s="20" t="s">
        <v>12</v>
      </c>
      <c r="F28" s="21"/>
      <c r="G28" s="21"/>
      <c r="H28" s="24">
        <v>0.25</v>
      </c>
      <c r="I28" s="14">
        <v>0.05</v>
      </c>
      <c r="J28" s="16">
        <v>0.05</v>
      </c>
      <c r="K28" s="15">
        <v>0.25</v>
      </c>
      <c r="L28" s="14">
        <v>0.05</v>
      </c>
      <c r="M28" s="16">
        <v>0.05</v>
      </c>
      <c r="N28" s="15">
        <v>0.25</v>
      </c>
      <c r="O28" s="14">
        <v>0.05</v>
      </c>
      <c r="P28" s="16">
        <v>0.05</v>
      </c>
      <c r="Q28" s="25">
        <v>0.25</v>
      </c>
    </row>
    <row r="29" spans="1:26" ht="15.75" customHeight="1" x14ac:dyDescent="0.2"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</row>
    <row r="30" spans="1:26" ht="15.75" customHeight="1" x14ac:dyDescent="0.2"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</row>
    <row r="31" spans="1:26" ht="15.75" customHeight="1" x14ac:dyDescent="0.2"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</row>
    <row r="32" spans="1:26" ht="15.75" customHeight="1" x14ac:dyDescent="0.2">
      <c r="B32" s="23"/>
      <c r="C32" s="224"/>
      <c r="D32" s="224"/>
      <c r="E32" s="20" t="s">
        <v>16</v>
      </c>
      <c r="F32" s="21"/>
      <c r="G32" s="21"/>
      <c r="H32" s="24"/>
      <c r="I32" s="14"/>
      <c r="J32" s="16"/>
      <c r="K32" s="15"/>
      <c r="L32" s="14"/>
      <c r="M32" s="16"/>
      <c r="N32" s="15"/>
      <c r="O32" s="14"/>
      <c r="P32" s="16"/>
      <c r="Q32" s="25"/>
    </row>
    <row r="33" spans="1:26" ht="15.75" customHeight="1" x14ac:dyDescent="0.2"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</row>
    <row r="34" spans="1:26" ht="15.75" customHeight="1" thickBot="1" x14ac:dyDescent="0.25">
      <c r="B34" s="76"/>
      <c r="C34" s="45"/>
      <c r="D34" s="45"/>
      <c r="E34" s="45"/>
      <c r="F34" s="33">
        <f t="shared" ref="F34:Q34" si="0">SUM(F26:F33)</f>
        <v>0</v>
      </c>
      <c r="G34" s="33">
        <f t="shared" si="0"/>
        <v>0</v>
      </c>
      <c r="H34" s="33">
        <f t="shared" si="0"/>
        <v>0.35</v>
      </c>
      <c r="I34" s="33">
        <f t="shared" si="0"/>
        <v>0.2</v>
      </c>
      <c r="J34" s="33">
        <f t="shared" si="0"/>
        <v>0.2</v>
      </c>
      <c r="K34" s="33">
        <f t="shared" si="0"/>
        <v>0.4</v>
      </c>
      <c r="L34" s="33">
        <f t="shared" si="0"/>
        <v>0.2</v>
      </c>
      <c r="M34" s="33">
        <f t="shared" si="0"/>
        <v>0.2</v>
      </c>
      <c r="N34" s="33">
        <f t="shared" si="0"/>
        <v>0.4</v>
      </c>
      <c r="O34" s="33">
        <f t="shared" si="0"/>
        <v>0.2</v>
      </c>
      <c r="P34" s="33">
        <f t="shared" si="0"/>
        <v>0.2</v>
      </c>
      <c r="Q34" s="33">
        <f t="shared" si="0"/>
        <v>0.4</v>
      </c>
    </row>
    <row r="35" spans="1:26" ht="12" customHeight="1" x14ac:dyDescent="0.2">
      <c r="A35" s="4"/>
      <c r="B35" s="35" t="s">
        <v>23</v>
      </c>
      <c r="C35" s="223" t="s">
        <v>8</v>
      </c>
      <c r="D35" s="223" t="s">
        <v>8</v>
      </c>
      <c r="E35" s="36" t="s">
        <v>9</v>
      </c>
      <c r="F35" s="37"/>
      <c r="G35" s="37"/>
      <c r="H35" s="37"/>
      <c r="I35" s="245"/>
      <c r="J35" s="245"/>
      <c r="K35" s="245"/>
      <c r="L35" s="245"/>
      <c r="M35" s="245"/>
      <c r="N35" s="245"/>
      <c r="O35" s="245"/>
      <c r="P35" s="245"/>
      <c r="Q35" s="246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 x14ac:dyDescent="0.2">
      <c r="A36" s="4"/>
      <c r="B36" s="19" t="s">
        <v>24</v>
      </c>
      <c r="C36" s="224"/>
      <c r="D36" s="224"/>
      <c r="E36" s="20" t="s">
        <v>11</v>
      </c>
      <c r="F36" s="21"/>
      <c r="G36" s="21"/>
      <c r="H36" s="21"/>
      <c r="I36" s="247"/>
      <c r="J36" s="247"/>
      <c r="K36" s="247"/>
      <c r="L36" s="247"/>
      <c r="M36" s="247"/>
      <c r="N36" s="247"/>
      <c r="O36" s="247"/>
      <c r="P36" s="247"/>
      <c r="Q36" s="248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">
      <c r="A37" s="4"/>
      <c r="B37" s="23"/>
      <c r="C37" s="224"/>
      <c r="D37" s="224"/>
      <c r="E37" s="20" t="s">
        <v>12</v>
      </c>
      <c r="F37" s="21">
        <v>0.45</v>
      </c>
      <c r="G37" s="21">
        <v>0.45</v>
      </c>
      <c r="H37" s="21">
        <v>0.15</v>
      </c>
      <c r="I37" s="249"/>
      <c r="J37" s="249"/>
      <c r="K37" s="249"/>
      <c r="L37" s="249"/>
      <c r="M37" s="249"/>
      <c r="N37" s="249"/>
      <c r="O37" s="249"/>
      <c r="P37" s="249"/>
      <c r="Q37" s="249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 x14ac:dyDescent="0.2">
      <c r="A38" s="4"/>
      <c r="B38" s="23"/>
      <c r="C38" s="224"/>
      <c r="D38" s="224"/>
      <c r="E38" s="20" t="s">
        <v>13</v>
      </c>
      <c r="F38" s="21"/>
      <c r="G38" s="21"/>
      <c r="H38" s="24"/>
      <c r="I38" s="249"/>
      <c r="J38" s="250"/>
      <c r="K38" s="251"/>
      <c r="L38" s="249"/>
      <c r="M38" s="250"/>
      <c r="N38" s="251"/>
      <c r="O38" s="249"/>
      <c r="P38" s="250"/>
      <c r="Q38" s="252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 x14ac:dyDescent="0.2">
      <c r="A39" s="4"/>
      <c r="B39" s="23"/>
      <c r="C39" s="224"/>
      <c r="D39" s="224"/>
      <c r="E39" s="20" t="s">
        <v>14</v>
      </c>
      <c r="F39" s="21"/>
      <c r="G39" s="21"/>
      <c r="H39" s="24"/>
      <c r="I39" s="249"/>
      <c r="J39" s="250"/>
      <c r="K39" s="251"/>
      <c r="L39" s="249"/>
      <c r="M39" s="250"/>
      <c r="N39" s="251"/>
      <c r="O39" s="249"/>
      <c r="P39" s="250"/>
      <c r="Q39" s="252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 x14ac:dyDescent="0.2">
      <c r="A40" s="4"/>
      <c r="B40" s="23"/>
      <c r="C40" s="224"/>
      <c r="D40" s="224"/>
      <c r="E40" s="20" t="s">
        <v>15</v>
      </c>
      <c r="F40" s="21"/>
      <c r="G40" s="21"/>
      <c r="H40" s="24"/>
      <c r="I40" s="249"/>
      <c r="J40" s="250"/>
      <c r="K40" s="251"/>
      <c r="L40" s="249"/>
      <c r="M40" s="250"/>
      <c r="N40" s="251"/>
      <c r="O40" s="249"/>
      <c r="P40" s="250"/>
      <c r="Q40" s="252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 x14ac:dyDescent="0.2">
      <c r="A41" s="4"/>
      <c r="B41" s="23"/>
      <c r="C41" s="224"/>
      <c r="D41" s="224"/>
      <c r="E41" s="20" t="s">
        <v>16</v>
      </c>
      <c r="F41" s="21"/>
      <c r="G41" s="21"/>
      <c r="H41" s="24"/>
      <c r="I41" s="249"/>
      <c r="J41" s="250"/>
      <c r="K41" s="251"/>
      <c r="L41" s="249"/>
      <c r="M41" s="250"/>
      <c r="N41" s="251"/>
      <c r="O41" s="249"/>
      <c r="P41" s="250"/>
      <c r="Q41" s="252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 x14ac:dyDescent="0.2">
      <c r="A42" s="4"/>
      <c r="B42" s="27"/>
      <c r="C42" s="225"/>
      <c r="D42" s="225"/>
      <c r="E42" s="28" t="s">
        <v>17</v>
      </c>
      <c r="F42" s="29"/>
      <c r="G42" s="29"/>
      <c r="H42" s="29"/>
      <c r="I42" s="253"/>
      <c r="J42" s="253"/>
      <c r="K42" s="253"/>
      <c r="L42" s="253"/>
      <c r="M42" s="253"/>
      <c r="N42" s="253"/>
      <c r="O42" s="253"/>
      <c r="P42" s="253"/>
      <c r="Q42" s="254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 thickBot="1" x14ac:dyDescent="0.25">
      <c r="A43" s="4"/>
      <c r="B43" s="42"/>
      <c r="C43" s="43"/>
      <c r="D43" s="43"/>
      <c r="E43" s="44" t="s">
        <v>18</v>
      </c>
      <c r="F43" s="33">
        <f>+SUM(F35:F42)</f>
        <v>0.45</v>
      </c>
      <c r="G43" s="33">
        <f>+SUM(G35:G42)</f>
        <v>0.45</v>
      </c>
      <c r="H43" s="33">
        <f>+SUM(H35:H42)</f>
        <v>0.15</v>
      </c>
      <c r="I43" s="45"/>
      <c r="J43" s="45"/>
      <c r="K43" s="45"/>
      <c r="L43" s="45"/>
      <c r="M43" s="45"/>
      <c r="N43" s="45"/>
      <c r="O43" s="45"/>
      <c r="P43" s="45"/>
      <c r="Q43" s="46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 x14ac:dyDescent="0.2">
      <c r="A44" s="4"/>
      <c r="B44" s="35" t="s">
        <v>46</v>
      </c>
      <c r="C44" s="223" t="s">
        <v>8</v>
      </c>
      <c r="D44" s="223" t="s">
        <v>8</v>
      </c>
      <c r="E44" s="36" t="s">
        <v>9</v>
      </c>
      <c r="F44" s="37"/>
      <c r="G44" s="37"/>
      <c r="H44" s="38"/>
      <c r="I44" s="37"/>
      <c r="J44" s="39"/>
      <c r="K44" s="40"/>
      <c r="L44" s="37"/>
      <c r="M44" s="39"/>
      <c r="N44" s="40"/>
      <c r="O44" s="37"/>
      <c r="P44" s="39"/>
      <c r="Q44" s="41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 x14ac:dyDescent="0.2">
      <c r="A45" s="4"/>
      <c r="B45" s="19" t="s">
        <v>47</v>
      </c>
      <c r="C45" s="224"/>
      <c r="D45" s="224"/>
      <c r="E45" s="20" t="s">
        <v>11</v>
      </c>
      <c r="F45" s="21"/>
      <c r="G45" s="21"/>
      <c r="H45" s="24"/>
      <c r="I45" s="21"/>
      <c r="J45" s="49"/>
      <c r="K45" s="15"/>
      <c r="L45" s="21"/>
      <c r="M45" s="49"/>
      <c r="N45" s="15"/>
      <c r="O45" s="21"/>
      <c r="P45" s="49"/>
      <c r="Q45" s="2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 x14ac:dyDescent="0.2">
      <c r="A46" s="4"/>
      <c r="B46" s="23"/>
      <c r="C46" s="224"/>
      <c r="D46" s="224"/>
      <c r="E46" s="20" t="s">
        <v>12</v>
      </c>
      <c r="F46" s="21">
        <v>0.3</v>
      </c>
      <c r="G46" s="21">
        <v>0.25</v>
      </c>
      <c r="H46" s="24">
        <v>0.25</v>
      </c>
      <c r="I46" s="14">
        <v>0.25</v>
      </c>
      <c r="J46" s="16">
        <v>0.25</v>
      </c>
      <c r="K46" s="15">
        <v>0.3</v>
      </c>
      <c r="L46" s="14">
        <v>0.3</v>
      </c>
      <c r="M46" s="16">
        <v>0.25</v>
      </c>
      <c r="N46" s="15">
        <v>0.25</v>
      </c>
      <c r="O46" s="14">
        <v>0.25</v>
      </c>
      <c r="P46" s="16">
        <v>0.25</v>
      </c>
      <c r="Q46" s="25">
        <v>0.25</v>
      </c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 x14ac:dyDescent="0.2">
      <c r="A47" s="4"/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 x14ac:dyDescent="0.2">
      <c r="A48" s="4"/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  <c r="R48" s="5"/>
      <c r="S48" s="5"/>
      <c r="T48" s="5"/>
      <c r="U48" s="5"/>
      <c r="V48" s="5"/>
      <c r="W48" s="5"/>
      <c r="X48" s="5"/>
      <c r="Y48" s="5"/>
      <c r="Z48" s="5"/>
    </row>
    <row r="49" spans="1:26 16384:16384" ht="12" customHeight="1" x14ac:dyDescent="0.2">
      <c r="A49" s="4"/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  <c r="R49" s="5"/>
      <c r="S49" s="5"/>
      <c r="T49" s="5"/>
      <c r="U49" s="5"/>
      <c r="V49" s="5"/>
      <c r="W49" s="5"/>
      <c r="X49" s="5"/>
      <c r="Y49" s="5"/>
      <c r="Z49" s="5"/>
    </row>
    <row r="50" spans="1:26 16384:16384" ht="12" customHeight="1" x14ac:dyDescent="0.2">
      <c r="A50" s="4"/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  <c r="R50" s="5"/>
      <c r="S50" s="5"/>
      <c r="T50" s="5"/>
      <c r="U50" s="5"/>
      <c r="V50" s="5"/>
      <c r="W50" s="5"/>
      <c r="X50" s="5"/>
      <c r="Y50" s="5"/>
      <c r="Z50" s="5"/>
    </row>
    <row r="51" spans="1:26 16384:16384" ht="12" customHeight="1" x14ac:dyDescent="0.2">
      <c r="A51" s="4"/>
      <c r="B51" s="27"/>
      <c r="C51" s="225"/>
      <c r="D51" s="225"/>
      <c r="E51" s="28" t="s">
        <v>17</v>
      </c>
      <c r="F51" s="29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1"/>
      <c r="R51" s="5"/>
      <c r="S51" s="5"/>
      <c r="T51" s="5"/>
      <c r="U51" s="5"/>
      <c r="V51" s="5"/>
      <c r="W51" s="5"/>
      <c r="X51" s="5"/>
      <c r="Y51" s="5"/>
      <c r="Z51" s="5"/>
    </row>
    <row r="52" spans="1:26 16384:16384" ht="12" customHeight="1" thickBot="1" x14ac:dyDescent="0.25">
      <c r="A52" s="4"/>
      <c r="B52" s="42"/>
      <c r="C52" s="43"/>
      <c r="D52" s="43"/>
      <c r="E52" s="44" t="s">
        <v>18</v>
      </c>
      <c r="F52" s="33">
        <f>+SUM(F44:F51)</f>
        <v>0.3</v>
      </c>
      <c r="G52" s="33">
        <f>+SUM(G44:G51)</f>
        <v>0.25</v>
      </c>
      <c r="H52" s="33">
        <f>+SUM(H44:H51)</f>
        <v>0.25</v>
      </c>
      <c r="I52" s="33">
        <f>+SUM(I44:I51)</f>
        <v>0.25</v>
      </c>
      <c r="J52" s="33">
        <f>+SUM(J44:J51)</f>
        <v>0.25</v>
      </c>
      <c r="K52" s="33">
        <f>+SUM(K44:K51)</f>
        <v>0.3</v>
      </c>
      <c r="L52" s="33">
        <f>+SUM(L44:L51)</f>
        <v>0.3</v>
      </c>
      <c r="M52" s="33">
        <f>+SUM(M44:M51)</f>
        <v>0.25</v>
      </c>
      <c r="N52" s="33">
        <f>+SUM(N44:N51)</f>
        <v>0.25</v>
      </c>
      <c r="O52" s="33">
        <f>+SUM(O44:O51)</f>
        <v>0.25</v>
      </c>
      <c r="P52" s="33">
        <f>+SUM(P44:P51)</f>
        <v>0.25</v>
      </c>
      <c r="Q52" s="33">
        <f>+SUM(Q44:Q51)</f>
        <v>0.25</v>
      </c>
      <c r="R52" s="5"/>
      <c r="S52" s="5"/>
      <c r="T52" s="5"/>
      <c r="U52" s="5"/>
      <c r="V52" s="5"/>
      <c r="W52" s="5"/>
      <c r="X52" s="5"/>
      <c r="Y52" s="5"/>
      <c r="Z52" s="5"/>
      <c r="XFD52" s="262"/>
    </row>
    <row r="53" spans="1:26 16384:16384" ht="12" customHeight="1" x14ac:dyDescent="0.2">
      <c r="A53" s="4"/>
      <c r="B53" s="11" t="s">
        <v>33</v>
      </c>
      <c r="C53" s="223" t="s">
        <v>8</v>
      </c>
      <c r="D53" s="223" t="s">
        <v>8</v>
      </c>
      <c r="E53" s="13" t="s">
        <v>9</v>
      </c>
      <c r="F53" s="14"/>
      <c r="G53" s="14"/>
      <c r="H53" s="15"/>
      <c r="I53" s="14"/>
      <c r="J53" s="16"/>
      <c r="K53" s="17"/>
      <c r="L53" s="14"/>
      <c r="M53" s="16"/>
      <c r="N53" s="17"/>
      <c r="O53" s="14"/>
      <c r="P53" s="16"/>
      <c r="Q53" s="18"/>
      <c r="R53" s="5"/>
      <c r="S53" s="5"/>
      <c r="T53" s="5"/>
      <c r="U53" s="5"/>
      <c r="V53" s="5"/>
      <c r="W53" s="5"/>
      <c r="X53" s="5"/>
      <c r="Y53" s="5"/>
      <c r="Z53" s="5"/>
    </row>
    <row r="54" spans="1:26 16384:16384" ht="12" customHeight="1" x14ac:dyDescent="0.2">
      <c r="A54" s="4"/>
      <c r="B54" s="19" t="s">
        <v>34</v>
      </c>
      <c r="C54" s="224"/>
      <c r="D54" s="224"/>
      <c r="E54" s="20" t="s">
        <v>11</v>
      </c>
      <c r="F54" s="21"/>
      <c r="G54" s="21"/>
      <c r="H54" s="24"/>
      <c r="I54" s="21"/>
      <c r="J54" s="49"/>
      <c r="K54" s="15"/>
      <c r="L54" s="21"/>
      <c r="M54" s="49"/>
      <c r="N54" s="15"/>
      <c r="O54" s="21"/>
      <c r="P54" s="49"/>
      <c r="Q54" s="25"/>
      <c r="R54" s="5"/>
      <c r="S54" s="5"/>
      <c r="T54" s="5"/>
      <c r="U54" s="5"/>
      <c r="V54" s="5"/>
      <c r="W54" s="5"/>
      <c r="X54" s="5"/>
      <c r="Y54" s="5"/>
      <c r="Z54" s="5"/>
    </row>
    <row r="55" spans="1:26 16384:16384" ht="12" customHeight="1" x14ac:dyDescent="0.2">
      <c r="A55" s="4"/>
      <c r="B55" s="23"/>
      <c r="C55" s="224"/>
      <c r="D55" s="224"/>
      <c r="E55" s="20" t="s">
        <v>12</v>
      </c>
      <c r="F55" s="21"/>
      <c r="G55" s="21"/>
      <c r="H55" s="24"/>
      <c r="I55" s="14"/>
      <c r="J55" s="16"/>
      <c r="K55" s="15"/>
      <c r="L55" s="14"/>
      <c r="M55" s="16"/>
      <c r="N55" s="15"/>
      <c r="O55" s="14"/>
      <c r="P55" s="16"/>
      <c r="Q55" s="25"/>
      <c r="R55" s="5"/>
      <c r="S55" s="5"/>
      <c r="T55" s="5"/>
      <c r="U55" s="5"/>
      <c r="V55" s="5"/>
      <c r="W55" s="5"/>
      <c r="X55" s="5"/>
      <c r="Y55" s="5"/>
      <c r="Z55" s="5"/>
    </row>
    <row r="56" spans="1:26 16384:16384" ht="12" customHeight="1" x14ac:dyDescent="0.2">
      <c r="A56" s="4"/>
      <c r="B56" s="23"/>
      <c r="C56" s="224"/>
      <c r="D56" s="224"/>
      <c r="E56" s="20" t="s">
        <v>13</v>
      </c>
      <c r="F56" s="21">
        <v>0.4</v>
      </c>
      <c r="G56" s="21">
        <v>0.35</v>
      </c>
      <c r="H56" s="21">
        <v>0.2</v>
      </c>
      <c r="I56" s="14">
        <v>0.15</v>
      </c>
      <c r="J56" s="14">
        <v>0.15</v>
      </c>
      <c r="K56" s="14">
        <v>0.15</v>
      </c>
      <c r="L56" s="14">
        <v>0.15</v>
      </c>
      <c r="M56" s="14">
        <v>0.15</v>
      </c>
      <c r="N56" s="14">
        <v>0.15</v>
      </c>
      <c r="O56" s="14">
        <v>0.15</v>
      </c>
      <c r="P56" s="16">
        <v>0.15</v>
      </c>
      <c r="Q56" s="25">
        <v>0.15</v>
      </c>
      <c r="R56" s="5"/>
      <c r="S56" s="5"/>
      <c r="T56" s="5"/>
      <c r="U56" s="5"/>
      <c r="V56" s="5"/>
      <c r="W56" s="5"/>
      <c r="X56" s="5"/>
      <c r="Y56" s="5"/>
      <c r="Z56" s="5"/>
    </row>
    <row r="57" spans="1:26 16384:16384" ht="12" customHeight="1" x14ac:dyDescent="0.2">
      <c r="A57" s="4"/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  <c r="R57" s="5"/>
      <c r="S57" s="5"/>
      <c r="T57" s="5"/>
      <c r="U57" s="5"/>
      <c r="V57" s="5"/>
      <c r="W57" s="5"/>
      <c r="X57" s="5"/>
      <c r="Y57" s="5"/>
      <c r="Z57" s="5"/>
    </row>
    <row r="58" spans="1:26 16384:16384" ht="12" customHeight="1" x14ac:dyDescent="0.2">
      <c r="A58" s="4"/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  <c r="R58" s="5"/>
      <c r="S58" s="5"/>
      <c r="T58" s="5"/>
      <c r="U58" s="5"/>
      <c r="V58" s="5"/>
      <c r="W58" s="5"/>
      <c r="X58" s="5"/>
      <c r="Y58" s="5"/>
      <c r="Z58" s="5"/>
    </row>
    <row r="59" spans="1:26 16384:16384" ht="12" customHeight="1" x14ac:dyDescent="0.2">
      <c r="A59" s="4"/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  <c r="R59" s="5"/>
      <c r="S59" s="5"/>
      <c r="T59" s="5"/>
      <c r="U59" s="5"/>
      <c r="V59" s="5"/>
      <c r="W59" s="5"/>
      <c r="X59" s="5"/>
      <c r="Y59" s="5"/>
      <c r="Z59" s="5"/>
    </row>
    <row r="60" spans="1:26 16384:16384" ht="12" customHeight="1" x14ac:dyDescent="0.2">
      <c r="A60" s="4"/>
      <c r="B60" s="27"/>
      <c r="C60" s="225"/>
      <c r="D60" s="225"/>
      <c r="E60" s="28" t="s">
        <v>17</v>
      </c>
      <c r="F60" s="29"/>
      <c r="G60" s="29"/>
      <c r="H60" s="29"/>
      <c r="I60" s="50"/>
      <c r="J60" s="50"/>
      <c r="K60" s="50"/>
      <c r="L60" s="50"/>
      <c r="M60" s="50"/>
      <c r="N60" s="50"/>
      <c r="O60" s="50"/>
      <c r="P60" s="50"/>
      <c r="Q60" s="51"/>
      <c r="R60" s="5"/>
      <c r="S60" s="5"/>
      <c r="T60" s="5"/>
      <c r="U60" s="5"/>
      <c r="V60" s="5"/>
      <c r="W60" s="5"/>
      <c r="X60" s="5"/>
      <c r="Y60" s="5"/>
      <c r="Z60" s="5"/>
    </row>
    <row r="61" spans="1:26 16384:16384" ht="12" customHeight="1" thickBot="1" x14ac:dyDescent="0.25">
      <c r="A61" s="4"/>
      <c r="B61" s="42"/>
      <c r="C61" s="43"/>
      <c r="D61" s="43"/>
      <c r="E61" s="44" t="s">
        <v>18</v>
      </c>
      <c r="F61" s="45">
        <f>SUM(F53:F59)</f>
        <v>0.4</v>
      </c>
      <c r="G61" s="45">
        <f>SUM(G53:G59)</f>
        <v>0.35</v>
      </c>
      <c r="H61" s="45">
        <f>SUM(H53:H59)</f>
        <v>0.2</v>
      </c>
      <c r="I61" s="45">
        <f>SUM(I53:I59)</f>
        <v>0.15</v>
      </c>
      <c r="J61" s="45">
        <f>SUM(J53:J59)</f>
        <v>0.15</v>
      </c>
      <c r="K61" s="45">
        <f>SUM(K53:K59)</f>
        <v>0.15</v>
      </c>
      <c r="L61" s="45">
        <f>SUM(L53:L59)</f>
        <v>0.15</v>
      </c>
      <c r="M61" s="45">
        <f>SUM(M53:M59)</f>
        <v>0.15</v>
      </c>
      <c r="N61" s="45">
        <f>SUM(N53:N59)</f>
        <v>0.15</v>
      </c>
      <c r="O61" s="45">
        <f>SUM(O53:O59)</f>
        <v>0.15</v>
      </c>
      <c r="P61" s="45">
        <f>SUM(P53:P59)</f>
        <v>0.15</v>
      </c>
      <c r="Q61" s="45">
        <f>SUM(Q53:Q59)</f>
        <v>0.15</v>
      </c>
      <c r="R61" s="5"/>
      <c r="S61" s="5"/>
      <c r="T61" s="5"/>
      <c r="U61" s="5"/>
      <c r="V61" s="5"/>
      <c r="W61" s="5"/>
      <c r="X61" s="5"/>
      <c r="Y61" s="5"/>
      <c r="Z61" s="5"/>
    </row>
    <row r="62" spans="1:26 16384:16384" ht="12" customHeight="1" x14ac:dyDescent="0.2">
      <c r="A62" s="4"/>
      <c r="B62" s="11" t="s">
        <v>35</v>
      </c>
      <c r="C62" s="223" t="s">
        <v>8</v>
      </c>
      <c r="D62" s="223" t="s">
        <v>8</v>
      </c>
      <c r="E62" s="13" t="s">
        <v>9</v>
      </c>
      <c r="F62" s="14"/>
      <c r="G62" s="14"/>
      <c r="H62" s="15"/>
      <c r="I62" s="14"/>
      <c r="J62" s="16"/>
      <c r="K62" s="17"/>
      <c r="L62" s="14"/>
      <c r="M62" s="16"/>
      <c r="N62" s="17"/>
      <c r="O62" s="14"/>
      <c r="P62" s="16"/>
      <c r="Q62" s="18"/>
      <c r="R62" s="5"/>
      <c r="S62" s="5"/>
      <c r="T62" s="5"/>
      <c r="U62" s="5"/>
      <c r="V62" s="5"/>
      <c r="W62" s="5"/>
      <c r="X62" s="5"/>
      <c r="Y62" s="5"/>
      <c r="Z62" s="5"/>
    </row>
    <row r="63" spans="1:26 16384:16384" ht="12" customHeight="1" x14ac:dyDescent="0.2">
      <c r="A63" s="4"/>
      <c r="B63" s="19" t="s">
        <v>36</v>
      </c>
      <c r="C63" s="224"/>
      <c r="D63" s="224"/>
      <c r="E63" s="20" t="s">
        <v>11</v>
      </c>
      <c r="F63" s="21"/>
      <c r="G63" s="21"/>
      <c r="H63" s="24"/>
      <c r="I63" s="21"/>
      <c r="J63" s="49"/>
      <c r="K63" s="15"/>
      <c r="L63" s="21"/>
      <c r="M63" s="49"/>
      <c r="N63" s="15"/>
      <c r="O63" s="21"/>
      <c r="P63" s="49"/>
      <c r="Q63" s="25"/>
      <c r="R63" s="5"/>
      <c r="S63" s="5"/>
      <c r="T63" s="5"/>
      <c r="U63" s="5"/>
      <c r="V63" s="5"/>
      <c r="W63" s="5"/>
      <c r="X63" s="5"/>
      <c r="Y63" s="5"/>
      <c r="Z63" s="5"/>
    </row>
    <row r="64" spans="1:26 16384:16384" ht="12" customHeight="1" x14ac:dyDescent="0.2">
      <c r="A64" s="4"/>
      <c r="B64" s="23"/>
      <c r="C64" s="224"/>
      <c r="D64" s="224"/>
      <c r="E64" s="20" t="s">
        <v>12</v>
      </c>
      <c r="F64" s="21">
        <v>0.05</v>
      </c>
      <c r="G64" s="21">
        <v>0.05</v>
      </c>
      <c r="H64" s="24">
        <v>0.05</v>
      </c>
      <c r="I64" s="14">
        <v>0.05</v>
      </c>
      <c r="J64" s="16">
        <v>0.05</v>
      </c>
      <c r="K64" s="15">
        <v>0.05</v>
      </c>
      <c r="L64" s="14">
        <v>0.05</v>
      </c>
      <c r="M64" s="16">
        <v>0.05</v>
      </c>
      <c r="N64" s="15">
        <v>0.05</v>
      </c>
      <c r="O64" s="14">
        <v>0.05</v>
      </c>
      <c r="P64" s="16">
        <v>0.05</v>
      </c>
      <c r="Q64" s="25">
        <v>0.05</v>
      </c>
      <c r="R64" s="5"/>
      <c r="S64" s="5"/>
      <c r="T64" s="5"/>
      <c r="U64" s="5"/>
      <c r="V64" s="5"/>
      <c r="W64" s="5"/>
      <c r="X64" s="5"/>
      <c r="Y64" s="5"/>
      <c r="Z64" s="5"/>
    </row>
    <row r="65" spans="1:26 16384:16384" ht="12" customHeight="1" x14ac:dyDescent="0.2">
      <c r="A65" s="4"/>
      <c r="B65" s="23"/>
      <c r="C65" s="224"/>
      <c r="D65" s="224"/>
      <c r="E65" s="20" t="s">
        <v>13</v>
      </c>
      <c r="F65" s="21"/>
      <c r="G65" s="21"/>
      <c r="H65" s="24"/>
      <c r="I65" s="14"/>
      <c r="J65" s="16"/>
      <c r="K65" s="15"/>
      <c r="L65" s="14"/>
      <c r="M65" s="16"/>
      <c r="N65" s="15"/>
      <c r="O65" s="14"/>
      <c r="P65" s="16"/>
      <c r="Q65" s="25"/>
      <c r="R65" s="5"/>
      <c r="S65" s="5"/>
      <c r="T65" s="5"/>
      <c r="U65" s="5"/>
      <c r="V65" s="5"/>
      <c r="W65" s="5"/>
      <c r="X65" s="5"/>
      <c r="Y65" s="5"/>
      <c r="Z65" s="5"/>
    </row>
    <row r="66" spans="1:26 16384:16384" ht="12" customHeight="1" x14ac:dyDescent="0.2">
      <c r="A66" s="4"/>
      <c r="B66" s="23"/>
      <c r="C66" s="224"/>
      <c r="D66" s="224"/>
      <c r="E66" s="20" t="s">
        <v>14</v>
      </c>
      <c r="F66" s="21">
        <v>0.2</v>
      </c>
      <c r="G66" s="21">
        <v>0.2</v>
      </c>
      <c r="H66" s="21">
        <v>0.2</v>
      </c>
      <c r="I66" s="21">
        <v>0.2</v>
      </c>
      <c r="J66" s="21">
        <v>0.2</v>
      </c>
      <c r="K66" s="21">
        <v>0.2</v>
      </c>
      <c r="L66" s="21">
        <v>0.2</v>
      </c>
      <c r="M66" s="21">
        <v>0.2</v>
      </c>
      <c r="N66" s="21">
        <v>0.2</v>
      </c>
      <c r="O66" s="21">
        <v>0.2</v>
      </c>
      <c r="P66" s="21">
        <v>0.2</v>
      </c>
      <c r="Q66" s="21">
        <v>0.2</v>
      </c>
      <c r="R66" s="5"/>
      <c r="S66" s="5"/>
      <c r="T66" s="5"/>
      <c r="U66" s="5"/>
      <c r="V66" s="5"/>
      <c r="W66" s="5"/>
      <c r="X66" s="5"/>
      <c r="Y66" s="5"/>
      <c r="Z66" s="5"/>
    </row>
    <row r="67" spans="1:26 16384:16384" ht="12" customHeight="1" x14ac:dyDescent="0.2">
      <c r="A67" s="4"/>
      <c r="B67" s="23"/>
      <c r="C67" s="224"/>
      <c r="D67" s="224"/>
      <c r="E67" s="20" t="s">
        <v>15</v>
      </c>
      <c r="F67" s="21"/>
      <c r="G67" s="21"/>
      <c r="H67" s="21"/>
      <c r="I67" s="14"/>
      <c r="J67" s="16"/>
      <c r="K67" s="15"/>
      <c r="L67" s="14"/>
      <c r="M67" s="16"/>
      <c r="N67" s="15"/>
      <c r="O67" s="14"/>
      <c r="P67" s="16"/>
      <c r="Q67" s="25"/>
      <c r="R67" s="5"/>
      <c r="S67" s="5"/>
      <c r="T67" s="5"/>
      <c r="U67" s="5"/>
      <c r="V67" s="5"/>
      <c r="W67" s="5"/>
      <c r="X67" s="5"/>
      <c r="Y67" s="5"/>
      <c r="Z67" s="5"/>
    </row>
    <row r="68" spans="1:26 16384:16384" ht="12" customHeight="1" x14ac:dyDescent="0.2">
      <c r="A68" s="4"/>
      <c r="B68" s="23"/>
      <c r="C68" s="224"/>
      <c r="D68" s="224"/>
      <c r="E68" s="20" t="s">
        <v>16</v>
      </c>
      <c r="F68" s="21"/>
      <c r="G68" s="21"/>
      <c r="H68" s="24"/>
      <c r="I68" s="14"/>
      <c r="J68" s="16"/>
      <c r="K68" s="15"/>
      <c r="L68" s="14"/>
      <c r="M68" s="16"/>
      <c r="N68" s="15"/>
      <c r="O68" s="14"/>
      <c r="P68" s="16"/>
      <c r="Q68" s="25"/>
      <c r="R68" s="5"/>
      <c r="S68" s="5"/>
      <c r="T68" s="5"/>
      <c r="U68" s="5"/>
      <c r="V68" s="5"/>
      <c r="W68" s="5"/>
      <c r="X68" s="5"/>
      <c r="Y68" s="5"/>
      <c r="Z68" s="5"/>
    </row>
    <row r="69" spans="1:26 16384:16384" ht="12" customHeight="1" x14ac:dyDescent="0.2">
      <c r="A69" s="4"/>
      <c r="B69" s="27"/>
      <c r="C69" s="225"/>
      <c r="D69" s="225"/>
      <c r="E69" s="28" t="s">
        <v>17</v>
      </c>
      <c r="F69" s="29"/>
      <c r="G69" s="29"/>
      <c r="H69" s="29"/>
      <c r="I69" s="50"/>
      <c r="J69" s="50"/>
      <c r="K69" s="50"/>
      <c r="L69" s="50"/>
      <c r="M69" s="50"/>
      <c r="N69" s="50"/>
      <c r="O69" s="50"/>
      <c r="P69" s="50"/>
      <c r="Q69" s="51"/>
      <c r="R69" s="5"/>
      <c r="S69" s="5"/>
      <c r="T69" s="5"/>
      <c r="U69" s="5"/>
      <c r="V69" s="5"/>
      <c r="W69" s="5"/>
      <c r="X69" s="5"/>
      <c r="Y69" s="5"/>
      <c r="Z69" s="5"/>
    </row>
    <row r="70" spans="1:26 16384:16384" ht="12" customHeight="1" thickBot="1" x14ac:dyDescent="0.25">
      <c r="A70" s="4"/>
      <c r="B70" s="42"/>
      <c r="C70" s="43"/>
      <c r="D70" s="43"/>
      <c r="E70" s="44" t="s">
        <v>18</v>
      </c>
      <c r="F70" s="45">
        <f>SUM(F62:F68)</f>
        <v>0.25</v>
      </c>
      <c r="G70" s="45">
        <f>SUM(G62:G68)</f>
        <v>0.25</v>
      </c>
      <c r="H70" s="45">
        <f>SUM(H62:H68)</f>
        <v>0.25</v>
      </c>
      <c r="I70" s="45">
        <f>SUM(I62:I68)</f>
        <v>0.25</v>
      </c>
      <c r="J70" s="45">
        <f>SUM(J62:J68)</f>
        <v>0.25</v>
      </c>
      <c r="K70" s="45">
        <f>SUM(K62:K68)</f>
        <v>0.25</v>
      </c>
      <c r="L70" s="45">
        <f>SUM(L62:L68)</f>
        <v>0.25</v>
      </c>
      <c r="M70" s="45">
        <f>SUM(M62:M68)</f>
        <v>0.25</v>
      </c>
      <c r="N70" s="45">
        <f>SUM(N62:N68)</f>
        <v>0.25</v>
      </c>
      <c r="O70" s="45">
        <f>SUM(O62:O68)</f>
        <v>0.25</v>
      </c>
      <c r="P70" s="45">
        <f>SUM(P62:P68)</f>
        <v>0.25</v>
      </c>
      <c r="Q70" s="45">
        <f>SUM(Q62:Q68)</f>
        <v>0.25</v>
      </c>
      <c r="R70" s="5"/>
      <c r="S70" s="5"/>
      <c r="T70" s="5"/>
      <c r="U70" s="5"/>
      <c r="V70" s="5"/>
      <c r="W70" s="5"/>
      <c r="X70" s="5"/>
      <c r="Y70" s="5"/>
      <c r="Z70" s="5"/>
    </row>
    <row r="71" spans="1:26 16384:16384" ht="12" customHeight="1" x14ac:dyDescent="0.2">
      <c r="A71" s="5"/>
      <c r="B71" s="35" t="s">
        <v>41</v>
      </c>
      <c r="C71" s="223" t="s">
        <v>8</v>
      </c>
      <c r="D71" s="223" t="s">
        <v>8</v>
      </c>
      <c r="E71" s="36" t="s">
        <v>9</v>
      </c>
      <c r="F71" s="37"/>
      <c r="G71" s="37"/>
      <c r="H71" s="38"/>
      <c r="I71" s="37"/>
      <c r="J71" s="39"/>
      <c r="K71" s="40"/>
      <c r="L71" s="37"/>
      <c r="M71" s="39"/>
      <c r="N71" s="40"/>
      <c r="O71" s="37"/>
      <c r="P71" s="39"/>
      <c r="Q71" s="41"/>
      <c r="R71" s="5"/>
      <c r="S71" s="5"/>
      <c r="T71" s="5"/>
      <c r="U71" s="5"/>
      <c r="V71" s="5"/>
      <c r="W71" s="5"/>
      <c r="X71" s="5"/>
      <c r="Y71" s="5"/>
      <c r="Z71" s="5"/>
    </row>
    <row r="72" spans="1:26 16384:16384" ht="12" customHeight="1" x14ac:dyDescent="0.2">
      <c r="A72" s="5"/>
      <c r="B72" s="19" t="s">
        <v>43</v>
      </c>
      <c r="C72" s="224"/>
      <c r="D72" s="224"/>
      <c r="E72" s="20" t="s">
        <v>11</v>
      </c>
      <c r="F72" s="21"/>
      <c r="G72" s="21"/>
      <c r="H72" s="24"/>
      <c r="I72" s="21"/>
      <c r="J72" s="49"/>
      <c r="K72" s="15"/>
      <c r="L72" s="21"/>
      <c r="M72" s="49"/>
      <c r="N72" s="15"/>
      <c r="O72" s="21"/>
      <c r="P72" s="49"/>
      <c r="Q72" s="25"/>
      <c r="R72" s="5"/>
      <c r="S72" s="5"/>
      <c r="T72" s="5"/>
      <c r="U72" s="5"/>
      <c r="V72" s="5"/>
      <c r="W72" s="5"/>
      <c r="X72" s="5"/>
      <c r="Y72" s="5"/>
      <c r="Z72" s="5"/>
    </row>
    <row r="73" spans="1:26 16384:16384" ht="12" customHeight="1" x14ac:dyDescent="0.2">
      <c r="A73" s="5"/>
      <c r="B73" s="23"/>
      <c r="C73" s="224"/>
      <c r="D73" s="224"/>
      <c r="E73" s="20" t="s">
        <v>12</v>
      </c>
      <c r="F73" s="21"/>
      <c r="G73" s="21"/>
      <c r="H73" s="24"/>
      <c r="I73" s="14"/>
      <c r="J73" s="16"/>
      <c r="K73" s="15"/>
      <c r="L73" s="14"/>
      <c r="M73" s="16"/>
      <c r="N73" s="15"/>
      <c r="O73" s="14"/>
      <c r="P73" s="16"/>
      <c r="Q73" s="25"/>
      <c r="R73" s="5"/>
      <c r="S73" s="5"/>
      <c r="T73" s="5"/>
      <c r="U73" s="5"/>
      <c r="V73" s="5"/>
      <c r="W73" s="5"/>
      <c r="X73" s="5"/>
      <c r="Y73" s="5"/>
      <c r="Z73" s="5"/>
    </row>
    <row r="74" spans="1:26 16384:16384" ht="12" customHeight="1" x14ac:dyDescent="0.2">
      <c r="A74" s="5"/>
      <c r="B74" s="23"/>
      <c r="C74" s="224"/>
      <c r="D74" s="224"/>
      <c r="E74" s="20" t="s">
        <v>13</v>
      </c>
      <c r="F74" s="21"/>
      <c r="G74" s="21"/>
      <c r="H74" s="24"/>
      <c r="I74" s="14"/>
      <c r="J74" s="16"/>
      <c r="K74" s="15"/>
      <c r="L74" s="14"/>
      <c r="M74" s="16"/>
      <c r="N74" s="15"/>
      <c r="O74" s="14"/>
      <c r="P74" s="16"/>
      <c r="Q74" s="25"/>
      <c r="R74" s="5"/>
      <c r="S74" s="5"/>
      <c r="T74" s="5"/>
      <c r="U74" s="5"/>
      <c r="V74" s="5"/>
      <c r="W74" s="5"/>
      <c r="X74" s="5"/>
      <c r="Y74" s="5"/>
      <c r="Z74" s="5"/>
    </row>
    <row r="75" spans="1:26 16384:16384" ht="12" customHeight="1" x14ac:dyDescent="0.2">
      <c r="A75" s="5"/>
      <c r="B75" s="23"/>
      <c r="C75" s="224"/>
      <c r="D75" s="224"/>
      <c r="E75" s="20" t="s">
        <v>14</v>
      </c>
      <c r="F75" s="21"/>
      <c r="G75" s="21"/>
      <c r="H75" s="24"/>
      <c r="I75" s="14"/>
      <c r="J75" s="16"/>
      <c r="K75" s="15"/>
      <c r="L75" s="14"/>
      <c r="M75" s="16"/>
      <c r="N75" s="15"/>
      <c r="O75" s="14"/>
      <c r="P75" s="16"/>
      <c r="Q75" s="25"/>
      <c r="R75" s="5"/>
      <c r="S75" s="5"/>
      <c r="T75" s="5"/>
      <c r="U75" s="5"/>
      <c r="V75" s="5"/>
      <c r="W75" s="5"/>
      <c r="X75" s="5"/>
      <c r="Y75" s="5"/>
      <c r="Z75" s="5"/>
    </row>
    <row r="76" spans="1:26 16384:16384" ht="12" customHeight="1" x14ac:dyDescent="0.2">
      <c r="A76" s="5"/>
      <c r="B76" s="23"/>
      <c r="C76" s="224"/>
      <c r="D76" s="224"/>
      <c r="E76" s="20" t="s">
        <v>15</v>
      </c>
      <c r="F76" s="21"/>
      <c r="G76" s="21"/>
      <c r="H76" s="24"/>
      <c r="I76" s="14"/>
      <c r="J76" s="16"/>
      <c r="K76" s="15"/>
      <c r="L76" s="14"/>
      <c r="M76" s="16"/>
      <c r="N76" s="15"/>
      <c r="O76" s="14"/>
      <c r="P76" s="16"/>
      <c r="Q76" s="25"/>
      <c r="R76" s="5"/>
      <c r="S76" s="5"/>
      <c r="T76" s="5"/>
      <c r="U76" s="5"/>
      <c r="V76" s="5"/>
      <c r="W76" s="5"/>
      <c r="X76" s="5"/>
      <c r="Y76" s="5"/>
      <c r="Z76" s="5"/>
    </row>
    <row r="77" spans="1:26 16384:16384" ht="12" customHeight="1" x14ac:dyDescent="0.2">
      <c r="A77" s="5"/>
      <c r="B77" s="23"/>
      <c r="C77" s="224"/>
      <c r="D77" s="224"/>
      <c r="E77" s="20" t="s">
        <v>16</v>
      </c>
      <c r="F77" s="21">
        <v>0.2</v>
      </c>
      <c r="G77" s="21">
        <v>0.2</v>
      </c>
      <c r="H77" s="24">
        <v>0.1</v>
      </c>
      <c r="I77" s="14">
        <v>0.1</v>
      </c>
      <c r="J77" s="16">
        <v>0.2</v>
      </c>
      <c r="K77" s="15">
        <v>0.2</v>
      </c>
      <c r="L77" s="14">
        <v>0.2</v>
      </c>
      <c r="M77" s="16">
        <v>0.2</v>
      </c>
      <c r="N77" s="15">
        <v>0.1</v>
      </c>
      <c r="O77" s="14">
        <v>0.1</v>
      </c>
      <c r="P77" s="16">
        <v>0.2</v>
      </c>
      <c r="Q77" s="25">
        <v>0.2</v>
      </c>
      <c r="R77" s="5"/>
      <c r="S77" s="5"/>
      <c r="T77" s="5"/>
      <c r="U77" s="5"/>
      <c r="V77" s="5"/>
      <c r="W77" s="5"/>
      <c r="X77" s="5"/>
      <c r="Y77" s="5"/>
      <c r="Z77" s="5"/>
    </row>
    <row r="78" spans="1:26 16384:16384" ht="12" customHeight="1" x14ac:dyDescent="0.2">
      <c r="A78" s="5"/>
      <c r="B78" s="27"/>
      <c r="C78" s="225"/>
      <c r="D78" s="225"/>
      <c r="E78" s="28" t="s">
        <v>17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0"/>
      <c r="R78" s="5"/>
      <c r="S78" s="5"/>
      <c r="T78" s="5"/>
      <c r="U78" s="5"/>
      <c r="V78" s="5"/>
      <c r="W78" s="5"/>
      <c r="X78" s="5"/>
      <c r="Y78" s="5"/>
      <c r="Z78" s="5"/>
    </row>
    <row r="79" spans="1:26 16384:16384" ht="12" customHeight="1" thickBot="1" x14ac:dyDescent="0.25">
      <c r="A79" s="5"/>
      <c r="B79" s="42"/>
      <c r="C79" s="43"/>
      <c r="D79" s="43"/>
      <c r="E79" s="44" t="s">
        <v>18</v>
      </c>
      <c r="F79" s="45">
        <f>SUM(F71:F77)</f>
        <v>0.2</v>
      </c>
      <c r="G79" s="45">
        <f>SUM(G71:G77)</f>
        <v>0.2</v>
      </c>
      <c r="H79" s="45">
        <f>SUM(H71:H77)</f>
        <v>0.1</v>
      </c>
      <c r="I79" s="45">
        <f>SUM(I71:I77)</f>
        <v>0.1</v>
      </c>
      <c r="J79" s="45">
        <f>SUM(J71:J77)</f>
        <v>0.2</v>
      </c>
      <c r="K79" s="45">
        <f>SUM(K71:K77)</f>
        <v>0.2</v>
      </c>
      <c r="L79" s="45">
        <f>SUM(L71:L77)</f>
        <v>0.2</v>
      </c>
      <c r="M79" s="45">
        <f>SUM(M71:M77)</f>
        <v>0.2</v>
      </c>
      <c r="N79" s="45">
        <f>SUM(N71:N77)</f>
        <v>0.1</v>
      </c>
      <c r="O79" s="45">
        <f>SUM(O71:O77)</f>
        <v>0.1</v>
      </c>
      <c r="P79" s="45">
        <f>SUM(P71:P77)</f>
        <v>0.2</v>
      </c>
      <c r="Q79" s="45">
        <f>SUM(Q71:Q77)</f>
        <v>0.2</v>
      </c>
      <c r="R79" s="5"/>
      <c r="S79" s="5"/>
      <c r="T79" s="5"/>
      <c r="U79" s="5"/>
      <c r="V79" s="5"/>
      <c r="W79" s="5"/>
      <c r="X79" s="5"/>
      <c r="Y79" s="5"/>
      <c r="Z79" s="5"/>
      <c r="XFD79" s="262"/>
    </row>
    <row r="80" spans="1:26 16384:16384" ht="12" customHeight="1" x14ac:dyDescent="0.2">
      <c r="A80" s="5"/>
      <c r="B80" s="35" t="s">
        <v>61</v>
      </c>
      <c r="C80" s="223" t="s">
        <v>8</v>
      </c>
      <c r="D80" s="223" t="s">
        <v>8</v>
      </c>
      <c r="E80" s="36" t="s">
        <v>9</v>
      </c>
      <c r="F80" s="37"/>
      <c r="G80" s="37"/>
      <c r="H80" s="38"/>
      <c r="I80" s="37"/>
      <c r="J80" s="39"/>
      <c r="K80" s="40"/>
      <c r="L80" s="37"/>
      <c r="M80" s="39"/>
      <c r="N80" s="40"/>
      <c r="O80" s="37"/>
      <c r="P80" s="39"/>
      <c r="Q80" s="41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 x14ac:dyDescent="0.2">
      <c r="A81" s="5"/>
      <c r="B81" s="19" t="s">
        <v>62</v>
      </c>
      <c r="C81" s="224"/>
      <c r="D81" s="224"/>
      <c r="E81" s="20" t="s">
        <v>11</v>
      </c>
      <c r="F81" s="21"/>
      <c r="G81" s="21"/>
      <c r="H81" s="24"/>
      <c r="I81" s="21"/>
      <c r="J81" s="49"/>
      <c r="K81" s="15"/>
      <c r="L81" s="21"/>
      <c r="M81" s="49"/>
      <c r="N81" s="15"/>
      <c r="O81" s="21"/>
      <c r="P81" s="49"/>
      <c r="Q81" s="2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 x14ac:dyDescent="0.2">
      <c r="A82" s="5"/>
      <c r="B82" s="23"/>
      <c r="C82" s="224"/>
      <c r="D82" s="224"/>
      <c r="E82" s="20" t="s">
        <v>12</v>
      </c>
      <c r="F82" s="21"/>
      <c r="G82" s="21"/>
      <c r="H82" s="24"/>
      <c r="I82" s="14"/>
      <c r="J82" s="16"/>
      <c r="K82" s="15"/>
      <c r="L82" s="14"/>
      <c r="M82" s="16"/>
      <c r="N82" s="15"/>
      <c r="O82" s="14"/>
      <c r="P82" s="16"/>
      <c r="Q82" s="2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">
      <c r="A83" s="5"/>
      <c r="B83" s="23"/>
      <c r="C83" s="224"/>
      <c r="D83" s="224"/>
      <c r="E83" s="20" t="s">
        <v>13</v>
      </c>
      <c r="F83" s="21"/>
      <c r="G83" s="21"/>
      <c r="H83" s="24"/>
      <c r="I83" s="14"/>
      <c r="J83" s="16"/>
      <c r="K83" s="15"/>
      <c r="L83" s="14"/>
      <c r="M83" s="16"/>
      <c r="N83" s="15"/>
      <c r="O83" s="14"/>
      <c r="P83" s="16"/>
      <c r="Q83" s="2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 x14ac:dyDescent="0.2">
      <c r="A84" s="5"/>
      <c r="B84" s="23"/>
      <c r="C84" s="224"/>
      <c r="D84" s="224"/>
      <c r="E84" s="20" t="s">
        <v>14</v>
      </c>
      <c r="F84" s="21"/>
      <c r="G84" s="21"/>
      <c r="H84" s="24"/>
      <c r="I84" s="14"/>
      <c r="J84" s="16"/>
      <c r="K84" s="15"/>
      <c r="L84" s="14"/>
      <c r="M84" s="16"/>
      <c r="N84" s="15"/>
      <c r="O84" s="14"/>
      <c r="P84" s="16"/>
      <c r="Q84" s="2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A85" s="5"/>
      <c r="B85" s="23"/>
      <c r="C85" s="224"/>
      <c r="D85" s="224"/>
      <c r="E85" s="20" t="s">
        <v>15</v>
      </c>
      <c r="F85" s="21"/>
      <c r="G85" s="21"/>
      <c r="H85" s="24"/>
      <c r="I85" s="14"/>
      <c r="J85" s="16"/>
      <c r="K85" s="15"/>
      <c r="L85" s="14"/>
      <c r="M85" s="16"/>
      <c r="N85" s="15"/>
      <c r="O85" s="14"/>
      <c r="P85" s="16"/>
      <c r="Q85" s="2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 x14ac:dyDescent="0.2">
      <c r="A86" s="5"/>
      <c r="B86" s="23"/>
      <c r="C86" s="224"/>
      <c r="D86" s="224"/>
      <c r="E86" s="20" t="s">
        <v>16</v>
      </c>
      <c r="F86" s="21">
        <v>0.1</v>
      </c>
      <c r="G86" s="21">
        <v>0.1</v>
      </c>
      <c r="H86" s="24">
        <v>0.05</v>
      </c>
      <c r="I86" s="14">
        <v>0.05</v>
      </c>
      <c r="J86" s="16">
        <v>0.1</v>
      </c>
      <c r="K86" s="15">
        <v>0.1</v>
      </c>
      <c r="L86" s="14">
        <v>0.1</v>
      </c>
      <c r="M86" s="16">
        <v>0.1</v>
      </c>
      <c r="N86" s="15">
        <v>0.05</v>
      </c>
      <c r="O86" s="14">
        <v>0.05</v>
      </c>
      <c r="P86" s="16">
        <v>0.1</v>
      </c>
      <c r="Q86" s="25">
        <v>0.1</v>
      </c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 x14ac:dyDescent="0.2">
      <c r="A87" s="5"/>
      <c r="B87" s="27"/>
      <c r="C87" s="225"/>
      <c r="D87" s="225"/>
      <c r="E87" s="28" t="s">
        <v>17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0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 thickBot="1" x14ac:dyDescent="0.25">
      <c r="A88" s="5"/>
      <c r="B88" s="42"/>
      <c r="C88" s="43"/>
      <c r="D88" s="43"/>
      <c r="E88" s="44" t="s">
        <v>18</v>
      </c>
      <c r="F88" s="45">
        <f>SUM(F80:F86)</f>
        <v>0.1</v>
      </c>
      <c r="G88" s="45">
        <f>SUM(G80:G86)</f>
        <v>0.1</v>
      </c>
      <c r="H88" s="45">
        <f>SUM(H80:H86)</f>
        <v>0.05</v>
      </c>
      <c r="I88" s="45">
        <f>SUM(I80:I86)</f>
        <v>0.05</v>
      </c>
      <c r="J88" s="45">
        <f>SUM(J80:J86)</f>
        <v>0.1</v>
      </c>
      <c r="K88" s="45">
        <f>SUM(K80:K86)</f>
        <v>0.1</v>
      </c>
      <c r="L88" s="45">
        <f>SUM(L80:L86)</f>
        <v>0.1</v>
      </c>
      <c r="M88" s="45">
        <f>SUM(M80:M86)</f>
        <v>0.1</v>
      </c>
      <c r="N88" s="45">
        <f>SUM(N80:N86)</f>
        <v>0.05</v>
      </c>
      <c r="O88" s="45">
        <f>SUM(O80:O86)</f>
        <v>0.05</v>
      </c>
      <c r="P88" s="45">
        <f>SUM(P80:P86)</f>
        <v>0.1</v>
      </c>
      <c r="Q88" s="45">
        <f>SUM(Q80:Q86)</f>
        <v>0.1</v>
      </c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 x14ac:dyDescent="0.2">
      <c r="A89" s="4"/>
      <c r="B89" s="35" t="s">
        <v>63</v>
      </c>
      <c r="C89" s="223" t="s">
        <v>8</v>
      </c>
      <c r="D89" s="223" t="s">
        <v>8</v>
      </c>
      <c r="E89" s="36" t="s">
        <v>9</v>
      </c>
      <c r="F89" s="37"/>
      <c r="G89" s="37"/>
      <c r="H89" s="38"/>
      <c r="I89" s="37"/>
      <c r="J89" s="39"/>
      <c r="K89" s="40"/>
      <c r="L89" s="37"/>
      <c r="M89" s="39"/>
      <c r="N89" s="40"/>
      <c r="O89" s="37"/>
      <c r="P89" s="39"/>
      <c r="Q89" s="41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 x14ac:dyDescent="0.2">
      <c r="A90" s="4"/>
      <c r="B90" s="19" t="s">
        <v>60</v>
      </c>
      <c r="C90" s="224"/>
      <c r="D90" s="224"/>
      <c r="E90" s="20" t="s">
        <v>11</v>
      </c>
      <c r="F90" s="21"/>
      <c r="G90" s="21"/>
      <c r="H90" s="24"/>
      <c r="I90" s="21"/>
      <c r="J90" s="49"/>
      <c r="K90" s="15"/>
      <c r="L90" s="21"/>
      <c r="M90" s="49"/>
      <c r="N90" s="15"/>
      <c r="O90" s="21"/>
      <c r="P90" s="49"/>
      <c r="Q90" s="2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 x14ac:dyDescent="0.2">
      <c r="A91" s="4"/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 x14ac:dyDescent="0.2">
      <c r="A92" s="4"/>
      <c r="B92" s="23"/>
      <c r="C92" s="224"/>
      <c r="D92" s="224"/>
      <c r="E92" s="20" t="s">
        <v>13</v>
      </c>
      <c r="F92" s="21"/>
      <c r="G92" s="21"/>
      <c r="H92" s="24"/>
      <c r="I92" s="14"/>
      <c r="J92" s="16"/>
      <c r="K92" s="15"/>
      <c r="L92" s="14"/>
      <c r="M92" s="16"/>
      <c r="N92" s="15"/>
      <c r="O92" s="14"/>
      <c r="P92" s="16"/>
      <c r="Q92" s="2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 x14ac:dyDescent="0.2">
      <c r="A93" s="4"/>
      <c r="B93" s="23"/>
      <c r="C93" s="224"/>
      <c r="D93" s="224"/>
      <c r="E93" s="20" t="s">
        <v>14</v>
      </c>
      <c r="F93" s="21"/>
      <c r="G93" s="21"/>
      <c r="H93" s="24"/>
      <c r="I93" s="14"/>
      <c r="J93" s="16"/>
      <c r="K93" s="15"/>
      <c r="L93" s="14"/>
      <c r="M93" s="16"/>
      <c r="N93" s="15"/>
      <c r="O93" s="14"/>
      <c r="P93" s="16"/>
      <c r="Q93" s="2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 x14ac:dyDescent="0.2">
      <c r="A94" s="4"/>
      <c r="B94" s="23"/>
      <c r="C94" s="224"/>
      <c r="D94" s="224"/>
      <c r="E94" s="20" t="s">
        <v>15</v>
      </c>
      <c r="F94" s="21"/>
      <c r="G94" s="21"/>
      <c r="H94" s="24"/>
      <c r="I94" s="14"/>
      <c r="J94" s="16"/>
      <c r="K94" s="15"/>
      <c r="L94" s="14"/>
      <c r="M94" s="16"/>
      <c r="N94" s="15"/>
      <c r="O94" s="14"/>
      <c r="P94" s="16"/>
      <c r="Q94" s="2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 x14ac:dyDescent="0.2">
      <c r="A95" s="4"/>
      <c r="B95" s="23"/>
      <c r="C95" s="224"/>
      <c r="D95" s="224"/>
      <c r="E95" s="20" t="s">
        <v>16</v>
      </c>
      <c r="F95" s="21">
        <v>0.15</v>
      </c>
      <c r="G95" s="21">
        <v>0.15</v>
      </c>
      <c r="H95" s="24">
        <v>0.15</v>
      </c>
      <c r="I95" s="14"/>
      <c r="J95" s="16"/>
      <c r="K95" s="15"/>
      <c r="L95" s="14"/>
      <c r="M95" s="16"/>
      <c r="N95" s="15"/>
      <c r="O95" s="14"/>
      <c r="P95" s="16"/>
      <c r="Q95" s="2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 x14ac:dyDescent="0.2">
      <c r="A96" s="4"/>
      <c r="B96" s="27"/>
      <c r="C96" s="225"/>
      <c r="D96" s="225"/>
      <c r="E96" s="28" t="s">
        <v>17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0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 thickBot="1" x14ac:dyDescent="0.25">
      <c r="A97" s="4"/>
      <c r="B97" s="42"/>
      <c r="C97" s="43"/>
      <c r="D97" s="43"/>
      <c r="E97" s="44" t="s">
        <v>18</v>
      </c>
      <c r="F97" s="45">
        <f>SUM(F89:F95)</f>
        <v>0.15</v>
      </c>
      <c r="G97" s="45">
        <f>SUM(G89:G95)</f>
        <v>0.15</v>
      </c>
      <c r="H97" s="45">
        <f>SUM(H89:H95)</f>
        <v>0.15</v>
      </c>
      <c r="I97" s="45">
        <f>SUM(I89:I95)</f>
        <v>0</v>
      </c>
      <c r="J97" s="45">
        <f>SUM(J89:J95)</f>
        <v>0</v>
      </c>
      <c r="K97" s="45">
        <f>SUM(K89:K95)</f>
        <v>0</v>
      </c>
      <c r="L97" s="45">
        <f>SUM(L89:L95)</f>
        <v>0</v>
      </c>
      <c r="M97" s="45">
        <f>SUM(M89:M95)</f>
        <v>0</v>
      </c>
      <c r="N97" s="45">
        <f>SUM(N89:N95)</f>
        <v>0</v>
      </c>
      <c r="O97" s="45">
        <f>SUM(O89:O95)</f>
        <v>0</v>
      </c>
      <c r="P97" s="45">
        <f>SUM(P89:P95)</f>
        <v>0</v>
      </c>
      <c r="Q97" s="45">
        <f>SUM(Q89:Q95)</f>
        <v>0</v>
      </c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 x14ac:dyDescent="0.2">
      <c r="A98" s="4"/>
      <c r="B98" s="35" t="s">
        <v>37</v>
      </c>
      <c r="C98" s="223" t="s">
        <v>38</v>
      </c>
      <c r="D98" s="223" t="s">
        <v>38</v>
      </c>
      <c r="E98" s="36" t="s">
        <v>9</v>
      </c>
      <c r="F98" s="37"/>
      <c r="G98" s="37"/>
      <c r="H98" s="38"/>
      <c r="I98" s="37"/>
      <c r="J98" s="39"/>
      <c r="K98" s="40"/>
      <c r="L98" s="37"/>
      <c r="M98" s="39"/>
      <c r="N98" s="40"/>
      <c r="O98" s="37"/>
      <c r="P98" s="39"/>
      <c r="Q98" s="41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 x14ac:dyDescent="0.2">
      <c r="A99" s="4"/>
      <c r="B99" s="19" t="s">
        <v>34</v>
      </c>
      <c r="C99" s="224"/>
      <c r="D99" s="224"/>
      <c r="E99" s="20" t="s">
        <v>11</v>
      </c>
      <c r="F99" s="21"/>
      <c r="G99" s="21"/>
      <c r="H99" s="24"/>
      <c r="I99" s="21"/>
      <c r="J99" s="49"/>
      <c r="K99" s="15"/>
      <c r="L99" s="21"/>
      <c r="M99" s="49"/>
      <c r="N99" s="15"/>
      <c r="O99" s="21"/>
      <c r="P99" s="49"/>
      <c r="Q99" s="2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 x14ac:dyDescent="0.2">
      <c r="A100" s="4"/>
      <c r="B100" s="23"/>
      <c r="C100" s="224"/>
      <c r="D100" s="224"/>
      <c r="E100" s="20" t="s">
        <v>12</v>
      </c>
      <c r="F100" s="21"/>
      <c r="G100" s="21"/>
      <c r="H100" s="24"/>
      <c r="I100" s="14"/>
      <c r="J100" s="16"/>
      <c r="K100" s="15"/>
      <c r="L100" s="14"/>
      <c r="M100" s="16"/>
      <c r="N100" s="15"/>
      <c r="O100" s="14"/>
      <c r="P100" s="16"/>
      <c r="Q100" s="2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 x14ac:dyDescent="0.2">
      <c r="A101" s="4"/>
      <c r="B101" s="23"/>
      <c r="C101" s="224"/>
      <c r="D101" s="224"/>
      <c r="E101" s="20" t="s">
        <v>13</v>
      </c>
      <c r="F101" s="21">
        <v>0.35</v>
      </c>
      <c r="G101" s="21">
        <v>0.3</v>
      </c>
      <c r="H101" s="21">
        <v>0.25</v>
      </c>
      <c r="I101" s="14">
        <v>0.25</v>
      </c>
      <c r="J101" s="14">
        <v>0.2</v>
      </c>
      <c r="K101" s="14">
        <v>0.2</v>
      </c>
      <c r="L101" s="14">
        <v>0.2</v>
      </c>
      <c r="M101" s="14">
        <v>0.25</v>
      </c>
      <c r="N101" s="14">
        <v>0.2</v>
      </c>
      <c r="O101" s="14">
        <v>0.2</v>
      </c>
      <c r="P101" s="14">
        <v>0.2</v>
      </c>
      <c r="Q101" s="14">
        <v>0.2</v>
      </c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 x14ac:dyDescent="0.2">
      <c r="A102" s="4"/>
      <c r="B102" s="23"/>
      <c r="C102" s="224"/>
      <c r="D102" s="224"/>
      <c r="E102" s="20" t="s">
        <v>14</v>
      </c>
      <c r="F102" s="21"/>
      <c r="G102" s="21"/>
      <c r="H102" s="24"/>
      <c r="I102" s="14"/>
      <c r="J102" s="16"/>
      <c r="K102" s="15"/>
      <c r="L102" s="14"/>
      <c r="M102" s="16"/>
      <c r="N102" s="15"/>
      <c r="O102" s="14"/>
      <c r="P102" s="16"/>
      <c r="Q102" s="2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 x14ac:dyDescent="0.2">
      <c r="A103" s="4"/>
      <c r="B103" s="23"/>
      <c r="C103" s="224"/>
      <c r="D103" s="224"/>
      <c r="E103" s="20" t="s">
        <v>15</v>
      </c>
      <c r="F103" s="21"/>
      <c r="G103" s="21"/>
      <c r="H103" s="24"/>
      <c r="I103" s="14"/>
      <c r="J103" s="16"/>
      <c r="K103" s="15"/>
      <c r="L103" s="14"/>
      <c r="M103" s="16"/>
      <c r="N103" s="15"/>
      <c r="O103" s="14"/>
      <c r="P103" s="16"/>
      <c r="Q103" s="2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A104" s="4"/>
      <c r="B104" s="23"/>
      <c r="C104" s="224"/>
      <c r="D104" s="224"/>
      <c r="E104" s="20" t="s">
        <v>16</v>
      </c>
      <c r="F104" s="21"/>
      <c r="G104" s="21"/>
      <c r="H104" s="24"/>
      <c r="I104" s="14"/>
      <c r="J104" s="16"/>
      <c r="K104" s="15"/>
      <c r="L104" s="14"/>
      <c r="M104" s="16"/>
      <c r="N104" s="15"/>
      <c r="O104" s="14"/>
      <c r="P104" s="16"/>
      <c r="Q104" s="2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 x14ac:dyDescent="0.2">
      <c r="A105" s="4"/>
      <c r="B105" s="27"/>
      <c r="C105" s="225"/>
      <c r="D105" s="225"/>
      <c r="E105" s="28" t="s">
        <v>17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thickBot="1" x14ac:dyDescent="0.25">
      <c r="A106" s="4"/>
      <c r="B106" s="42"/>
      <c r="C106" s="43"/>
      <c r="D106" s="43"/>
      <c r="E106" s="44" t="s">
        <v>18</v>
      </c>
      <c r="F106" s="45">
        <f>SUM(F98:F104)</f>
        <v>0.35</v>
      </c>
      <c r="G106" s="45">
        <f>SUM(G98:G104)</f>
        <v>0.3</v>
      </c>
      <c r="H106" s="45">
        <f>SUM(H98:H104)</f>
        <v>0.25</v>
      </c>
      <c r="I106" s="45">
        <f>SUM(I98:I104)</f>
        <v>0.25</v>
      </c>
      <c r="J106" s="45">
        <f>SUM(J98:J104)</f>
        <v>0.2</v>
      </c>
      <c r="K106" s="45">
        <f>SUM(K98:K104)</f>
        <v>0.2</v>
      </c>
      <c r="L106" s="45">
        <f>SUM(L98:L104)</f>
        <v>0.2</v>
      </c>
      <c r="M106" s="45">
        <f>SUM(M98:M104)</f>
        <v>0.25</v>
      </c>
      <c r="N106" s="45">
        <f>SUM(N98:N104)</f>
        <v>0.2</v>
      </c>
      <c r="O106" s="45">
        <f>SUM(O98:O104)</f>
        <v>0.2</v>
      </c>
      <c r="P106" s="45">
        <f>SUM(P98:P104)</f>
        <v>0.2</v>
      </c>
      <c r="Q106" s="45">
        <f>SUM(Q98:Q104)</f>
        <v>0.2</v>
      </c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 x14ac:dyDescent="0.2">
      <c r="A107" s="4"/>
      <c r="B107" s="35" t="s">
        <v>39</v>
      </c>
      <c r="C107" s="223" t="s">
        <v>38</v>
      </c>
      <c r="D107" s="223" t="s">
        <v>38</v>
      </c>
      <c r="E107" s="36" t="s">
        <v>9</v>
      </c>
      <c r="F107" s="38"/>
      <c r="G107" s="37"/>
      <c r="H107" s="38"/>
      <c r="I107" s="37"/>
      <c r="J107" s="39"/>
      <c r="K107" s="40"/>
      <c r="L107" s="37"/>
      <c r="M107" s="39"/>
      <c r="N107" s="40"/>
      <c r="O107" s="37"/>
      <c r="P107" s="39"/>
      <c r="Q107" s="41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 x14ac:dyDescent="0.2">
      <c r="A108" s="4"/>
      <c r="B108" s="19" t="s">
        <v>34</v>
      </c>
      <c r="C108" s="224"/>
      <c r="D108" s="224"/>
      <c r="E108" s="20" t="s">
        <v>11</v>
      </c>
      <c r="F108" s="24"/>
      <c r="G108" s="21"/>
      <c r="H108" s="24"/>
      <c r="I108" s="21"/>
      <c r="J108" s="49"/>
      <c r="K108" s="15"/>
      <c r="L108" s="21"/>
      <c r="M108" s="49"/>
      <c r="N108" s="15"/>
      <c r="O108" s="21"/>
      <c r="P108" s="49"/>
      <c r="Q108" s="2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 x14ac:dyDescent="0.2">
      <c r="A109" s="4"/>
      <c r="B109" s="23"/>
      <c r="C109" s="224"/>
      <c r="D109" s="224"/>
      <c r="E109" s="20" t="s">
        <v>12</v>
      </c>
      <c r="F109" s="24"/>
      <c r="G109" s="21"/>
      <c r="H109" s="24"/>
      <c r="I109" s="14"/>
      <c r="J109" s="16"/>
      <c r="K109" s="15"/>
      <c r="L109" s="14"/>
      <c r="M109" s="16"/>
      <c r="N109" s="15"/>
      <c r="O109" s="14"/>
      <c r="P109" s="16"/>
      <c r="Q109" s="2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 x14ac:dyDescent="0.2">
      <c r="A110" s="4"/>
      <c r="B110" s="23"/>
      <c r="C110" s="224"/>
      <c r="D110" s="224"/>
      <c r="E110" s="20" t="s">
        <v>13</v>
      </c>
      <c r="F110" s="24">
        <v>0.25</v>
      </c>
      <c r="G110" s="24">
        <v>0.25</v>
      </c>
      <c r="H110" s="24">
        <v>0.2</v>
      </c>
      <c r="I110" s="24">
        <v>0.2</v>
      </c>
      <c r="J110" s="24">
        <v>0.2</v>
      </c>
      <c r="K110" s="24">
        <v>0.15</v>
      </c>
      <c r="L110" s="24">
        <v>0.15</v>
      </c>
      <c r="M110" s="24">
        <v>0.15</v>
      </c>
      <c r="N110" s="24">
        <v>0.2</v>
      </c>
      <c r="O110" s="24">
        <v>0.2</v>
      </c>
      <c r="P110" s="24">
        <v>0.2</v>
      </c>
      <c r="Q110" s="22">
        <v>0.15</v>
      </c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 x14ac:dyDescent="0.2">
      <c r="A111" s="4"/>
      <c r="B111" s="23"/>
      <c r="C111" s="224"/>
      <c r="D111" s="224"/>
      <c r="E111" s="20" t="s">
        <v>14</v>
      </c>
      <c r="F111" s="24"/>
      <c r="G111" s="21"/>
      <c r="H111" s="24"/>
      <c r="I111" s="14"/>
      <c r="J111" s="16"/>
      <c r="K111" s="15"/>
      <c r="L111" s="14"/>
      <c r="M111" s="16"/>
      <c r="N111" s="15"/>
      <c r="O111" s="14"/>
      <c r="P111" s="16"/>
      <c r="Q111" s="2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 x14ac:dyDescent="0.2">
      <c r="A112" s="4"/>
      <c r="B112" s="23"/>
      <c r="C112" s="224"/>
      <c r="D112" s="224"/>
      <c r="E112" s="20" t="s">
        <v>15</v>
      </c>
      <c r="F112" s="24"/>
      <c r="G112" s="21"/>
      <c r="H112" s="24"/>
      <c r="I112" s="14"/>
      <c r="J112" s="16"/>
      <c r="K112" s="15"/>
      <c r="L112" s="14"/>
      <c r="M112" s="16"/>
      <c r="N112" s="15"/>
      <c r="O112" s="14"/>
      <c r="P112" s="16"/>
      <c r="Q112" s="2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 x14ac:dyDescent="0.2">
      <c r="A113" s="4"/>
      <c r="B113" s="23"/>
      <c r="C113" s="224"/>
      <c r="D113" s="224"/>
      <c r="E113" s="20" t="s">
        <v>16</v>
      </c>
      <c r="F113" s="24"/>
      <c r="G113" s="21"/>
      <c r="H113" s="24"/>
      <c r="I113" s="14"/>
      <c r="J113" s="16"/>
      <c r="K113" s="15"/>
      <c r="L113" s="14"/>
      <c r="M113" s="16"/>
      <c r="N113" s="15"/>
      <c r="O113" s="14"/>
      <c r="P113" s="16"/>
      <c r="Q113" s="2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 x14ac:dyDescent="0.2">
      <c r="A114" s="4"/>
      <c r="B114" s="27"/>
      <c r="C114" s="225"/>
      <c r="D114" s="225"/>
      <c r="E114" s="28" t="s">
        <v>17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0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 thickBot="1" x14ac:dyDescent="0.25">
      <c r="A115" s="4"/>
      <c r="B115" s="42"/>
      <c r="C115" s="43"/>
      <c r="D115" s="43"/>
      <c r="E115" s="44" t="s">
        <v>18</v>
      </c>
      <c r="F115" s="45">
        <f>SUM(F107:F113)</f>
        <v>0.25</v>
      </c>
      <c r="G115" s="45">
        <f>SUM(G107:G113)</f>
        <v>0.25</v>
      </c>
      <c r="H115" s="45">
        <f>SUM(H107:H113)</f>
        <v>0.2</v>
      </c>
      <c r="I115" s="45">
        <f>SUM(I107:I113)</f>
        <v>0.2</v>
      </c>
      <c r="J115" s="45">
        <f>SUM(J107:J113)</f>
        <v>0.2</v>
      </c>
      <c r="K115" s="45">
        <f>SUM(K107:K113)</f>
        <v>0.15</v>
      </c>
      <c r="L115" s="45">
        <f>SUM(L107:L113)</f>
        <v>0.15</v>
      </c>
      <c r="M115" s="45">
        <f>SUM(M107:M113)</f>
        <v>0.15</v>
      </c>
      <c r="N115" s="45">
        <f>SUM(N107:N113)</f>
        <v>0.2</v>
      </c>
      <c r="O115" s="45">
        <f>SUM(O107:O113)</f>
        <v>0.2</v>
      </c>
      <c r="P115" s="45">
        <f>SUM(P107:P113)</f>
        <v>0.2</v>
      </c>
      <c r="Q115" s="45">
        <f>SUM(Q107:Q113)</f>
        <v>0.15</v>
      </c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 x14ac:dyDescent="0.2">
      <c r="A116" s="4"/>
      <c r="B116" s="35" t="s">
        <v>40</v>
      </c>
      <c r="C116" s="223" t="s">
        <v>38</v>
      </c>
      <c r="D116" s="223" t="s">
        <v>38</v>
      </c>
      <c r="E116" s="36" t="s">
        <v>9</v>
      </c>
      <c r="F116" s="37"/>
      <c r="G116" s="37"/>
      <c r="H116" s="38"/>
      <c r="I116" s="37"/>
      <c r="J116" s="39"/>
      <c r="K116" s="40"/>
      <c r="L116" s="37"/>
      <c r="M116" s="39"/>
      <c r="N116" s="40"/>
      <c r="O116" s="37"/>
      <c r="P116" s="39"/>
      <c r="Q116" s="41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 x14ac:dyDescent="0.2">
      <c r="A117" s="4"/>
      <c r="B117" s="19" t="s">
        <v>34</v>
      </c>
      <c r="C117" s="224"/>
      <c r="D117" s="224"/>
      <c r="E117" s="20" t="s">
        <v>11</v>
      </c>
      <c r="F117" s="21"/>
      <c r="G117" s="21"/>
      <c r="H117" s="24"/>
      <c r="I117" s="21"/>
      <c r="J117" s="49"/>
      <c r="K117" s="15"/>
      <c r="L117" s="21"/>
      <c r="M117" s="49"/>
      <c r="N117" s="15"/>
      <c r="O117" s="21"/>
      <c r="P117" s="49"/>
      <c r="Q117" s="2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 x14ac:dyDescent="0.2">
      <c r="A118" s="4"/>
      <c r="B118" s="23"/>
      <c r="C118" s="224"/>
      <c r="D118" s="224"/>
      <c r="E118" s="20" t="s">
        <v>12</v>
      </c>
      <c r="F118" s="21"/>
      <c r="G118" s="21"/>
      <c r="H118" s="24"/>
      <c r="I118" s="14"/>
      <c r="J118" s="16"/>
      <c r="K118" s="15"/>
      <c r="L118" s="14"/>
      <c r="M118" s="16"/>
      <c r="N118" s="15"/>
      <c r="O118" s="14"/>
      <c r="P118" s="16"/>
      <c r="Q118" s="2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 x14ac:dyDescent="0.2">
      <c r="A119" s="4"/>
      <c r="B119" s="23"/>
      <c r="C119" s="224"/>
      <c r="D119" s="224"/>
      <c r="E119" s="20" t="s">
        <v>13</v>
      </c>
      <c r="F119" s="21">
        <v>0.35</v>
      </c>
      <c r="G119" s="21">
        <v>0.3</v>
      </c>
      <c r="H119" s="24">
        <v>0.25</v>
      </c>
      <c r="I119" s="14">
        <v>0.25</v>
      </c>
      <c r="J119" s="16">
        <v>0.25</v>
      </c>
      <c r="K119" s="15">
        <v>0.2</v>
      </c>
      <c r="L119" s="14">
        <v>0.2</v>
      </c>
      <c r="M119" s="16">
        <v>0.25</v>
      </c>
      <c r="N119" s="15">
        <v>0.2</v>
      </c>
      <c r="O119" s="14">
        <v>0.25</v>
      </c>
      <c r="P119" s="14">
        <v>0.2</v>
      </c>
      <c r="Q119" s="14">
        <v>0.25</v>
      </c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A120" s="4"/>
      <c r="B120" s="23"/>
      <c r="C120" s="224"/>
      <c r="D120" s="224"/>
      <c r="E120" s="20" t="s">
        <v>14</v>
      </c>
      <c r="F120" s="21"/>
      <c r="G120" s="21"/>
      <c r="H120" s="24"/>
      <c r="I120" s="14"/>
      <c r="J120" s="16"/>
      <c r="K120" s="15"/>
      <c r="L120" s="14"/>
      <c r="M120" s="16"/>
      <c r="N120" s="15"/>
      <c r="O120" s="14"/>
      <c r="P120" s="16"/>
      <c r="Q120" s="2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 x14ac:dyDescent="0.2">
      <c r="A121" s="4"/>
      <c r="B121" s="23"/>
      <c r="C121" s="224"/>
      <c r="D121" s="224"/>
      <c r="E121" s="20" t="s">
        <v>15</v>
      </c>
      <c r="F121" s="21"/>
      <c r="G121" s="21"/>
      <c r="H121" s="24"/>
      <c r="I121" s="14"/>
      <c r="J121" s="16"/>
      <c r="K121" s="15"/>
      <c r="L121" s="14"/>
      <c r="M121" s="16"/>
      <c r="N121" s="15"/>
      <c r="O121" s="14"/>
      <c r="P121" s="16"/>
      <c r="Q121" s="2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 x14ac:dyDescent="0.2">
      <c r="A122" s="4"/>
      <c r="B122" s="23"/>
      <c r="C122" s="224"/>
      <c r="D122" s="224"/>
      <c r="E122" s="20" t="s">
        <v>16</v>
      </c>
      <c r="F122" s="21"/>
      <c r="G122" s="21"/>
      <c r="H122" s="24"/>
      <c r="I122" s="14"/>
      <c r="J122" s="16"/>
      <c r="K122" s="15"/>
      <c r="L122" s="14"/>
      <c r="M122" s="16"/>
      <c r="N122" s="15"/>
      <c r="O122" s="14"/>
      <c r="P122" s="16"/>
      <c r="Q122" s="2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 x14ac:dyDescent="0.2">
      <c r="A123" s="4"/>
      <c r="B123" s="27"/>
      <c r="C123" s="225"/>
      <c r="D123" s="225"/>
      <c r="E123" s="28" t="s">
        <v>17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0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 thickBot="1" x14ac:dyDescent="0.25">
      <c r="A124" s="4"/>
      <c r="B124" s="42"/>
      <c r="C124" s="43"/>
      <c r="D124" s="43"/>
      <c r="E124" s="44" t="s">
        <v>18</v>
      </c>
      <c r="F124" s="45">
        <f>SUM(F116:F122)</f>
        <v>0.35</v>
      </c>
      <c r="G124" s="45">
        <f>SUM(G116:G122)</f>
        <v>0.3</v>
      </c>
      <c r="H124" s="45">
        <f>SUM(H116:H122)</f>
        <v>0.25</v>
      </c>
      <c r="I124" s="45">
        <f>SUM(I116:I122)</f>
        <v>0.25</v>
      </c>
      <c r="J124" s="45">
        <f>SUM(J116:J122)</f>
        <v>0.25</v>
      </c>
      <c r="K124" s="45">
        <f>SUM(K116:K122)</f>
        <v>0.2</v>
      </c>
      <c r="L124" s="45">
        <f>SUM(L116:L122)</f>
        <v>0.2</v>
      </c>
      <c r="M124" s="45">
        <f>SUM(M116:M122)</f>
        <v>0.25</v>
      </c>
      <c r="N124" s="45">
        <f>SUM(N116:N122)</f>
        <v>0.2</v>
      </c>
      <c r="O124" s="45">
        <f>SUM(O116:O122)</f>
        <v>0.25</v>
      </c>
      <c r="P124" s="45">
        <f>SUM(P116:P122)</f>
        <v>0.2</v>
      </c>
      <c r="Q124" s="45">
        <f>SUM(Q116:Q122)</f>
        <v>0.25</v>
      </c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A125" s="4"/>
      <c r="B125" s="35" t="s">
        <v>66</v>
      </c>
      <c r="C125" s="223" t="s">
        <v>38</v>
      </c>
      <c r="D125" s="223" t="s">
        <v>38</v>
      </c>
      <c r="E125" s="36" t="s">
        <v>9</v>
      </c>
      <c r="F125" s="37"/>
      <c r="G125" s="37"/>
      <c r="H125" s="38"/>
      <c r="I125" s="37"/>
      <c r="J125" s="39"/>
      <c r="K125" s="40"/>
      <c r="L125" s="37"/>
      <c r="M125" s="39"/>
      <c r="N125" s="40"/>
      <c r="O125" s="37"/>
      <c r="P125" s="39"/>
      <c r="Q125" s="4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 x14ac:dyDescent="0.2">
      <c r="A126" s="4"/>
      <c r="B126" s="19" t="s">
        <v>47</v>
      </c>
      <c r="C126" s="224"/>
      <c r="D126" s="224"/>
      <c r="E126" s="20" t="s">
        <v>11</v>
      </c>
      <c r="F126" s="21"/>
      <c r="G126" s="21"/>
      <c r="H126" s="24"/>
      <c r="I126" s="21"/>
      <c r="J126" s="49"/>
      <c r="K126" s="15"/>
      <c r="L126" s="21"/>
      <c r="M126" s="49"/>
      <c r="N126" s="15"/>
      <c r="O126" s="21"/>
      <c r="P126" s="49"/>
      <c r="Q126" s="2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 x14ac:dyDescent="0.2">
      <c r="A127" s="4"/>
      <c r="B127" s="23"/>
      <c r="C127" s="224"/>
      <c r="D127" s="224"/>
      <c r="E127" s="20" t="s">
        <v>12</v>
      </c>
      <c r="F127" s="21">
        <v>0.4</v>
      </c>
      <c r="G127" s="21">
        <v>0.35</v>
      </c>
      <c r="H127" s="24">
        <v>0.35</v>
      </c>
      <c r="I127" s="14">
        <v>0.3</v>
      </c>
      <c r="J127" s="16">
        <v>0.25</v>
      </c>
      <c r="K127" s="15">
        <v>0.25</v>
      </c>
      <c r="L127" s="14">
        <v>0.25</v>
      </c>
      <c r="M127" s="16">
        <v>0.25</v>
      </c>
      <c r="N127" s="15">
        <v>0.25</v>
      </c>
      <c r="O127" s="14">
        <v>0.25</v>
      </c>
      <c r="P127" s="14">
        <v>0.25</v>
      </c>
      <c r="Q127" s="14">
        <v>0.25</v>
      </c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 x14ac:dyDescent="0.2">
      <c r="A128" s="4"/>
      <c r="B128" s="23"/>
      <c r="C128" s="224"/>
      <c r="D128" s="224"/>
      <c r="E128" s="20" t="s">
        <v>13</v>
      </c>
      <c r="F128" s="21"/>
      <c r="G128" s="21"/>
      <c r="H128" s="24"/>
      <c r="I128" s="14"/>
      <c r="J128" s="16"/>
      <c r="K128" s="15"/>
      <c r="L128" s="14"/>
      <c r="M128" s="16"/>
      <c r="N128" s="15"/>
      <c r="O128" s="14"/>
      <c r="P128" s="16"/>
      <c r="Q128" s="2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 x14ac:dyDescent="0.2">
      <c r="A129" s="4"/>
      <c r="B129" s="23"/>
      <c r="C129" s="224"/>
      <c r="D129" s="224"/>
      <c r="E129" s="20" t="s">
        <v>14</v>
      </c>
      <c r="F129" s="21"/>
      <c r="G129" s="21"/>
      <c r="H129" s="24"/>
      <c r="I129" s="14"/>
      <c r="J129" s="16"/>
      <c r="K129" s="15"/>
      <c r="L129" s="14"/>
      <c r="M129" s="16"/>
      <c r="N129" s="15"/>
      <c r="O129" s="14"/>
      <c r="P129" s="16"/>
      <c r="Q129" s="2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 x14ac:dyDescent="0.2">
      <c r="A130" s="4"/>
      <c r="B130" s="23"/>
      <c r="C130" s="224"/>
      <c r="D130" s="224"/>
      <c r="E130" s="20" t="s">
        <v>15</v>
      </c>
      <c r="F130" s="21"/>
      <c r="G130" s="21"/>
      <c r="H130" s="24"/>
      <c r="I130" s="14"/>
      <c r="J130" s="16"/>
      <c r="K130" s="15"/>
      <c r="L130" s="14"/>
      <c r="M130" s="16"/>
      <c r="N130" s="15"/>
      <c r="O130" s="14"/>
      <c r="P130" s="16"/>
      <c r="Q130" s="2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 x14ac:dyDescent="0.2">
      <c r="A131" s="4"/>
      <c r="B131" s="23"/>
      <c r="C131" s="224"/>
      <c r="D131" s="224"/>
      <c r="E131" s="20" t="s">
        <v>16</v>
      </c>
      <c r="F131" s="21"/>
      <c r="G131" s="21"/>
      <c r="H131" s="24"/>
      <c r="I131" s="14"/>
      <c r="J131" s="16"/>
      <c r="K131" s="15"/>
      <c r="L131" s="14"/>
      <c r="M131" s="16"/>
      <c r="N131" s="15"/>
      <c r="O131" s="14"/>
      <c r="P131" s="16"/>
      <c r="Q131" s="2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 x14ac:dyDescent="0.2">
      <c r="A132" s="4"/>
      <c r="B132" s="27"/>
      <c r="C132" s="225"/>
      <c r="D132" s="225"/>
      <c r="E132" s="28" t="s">
        <v>17</v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0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 thickBot="1" x14ac:dyDescent="0.25">
      <c r="A133" s="4"/>
      <c r="B133" s="42"/>
      <c r="C133" s="43"/>
      <c r="D133" s="43"/>
      <c r="E133" s="44" t="s">
        <v>18</v>
      </c>
      <c r="F133" s="45">
        <f>SUM(F125:F131)</f>
        <v>0.4</v>
      </c>
      <c r="G133" s="45">
        <f>SUM(G125:G131)</f>
        <v>0.35</v>
      </c>
      <c r="H133" s="45">
        <f>SUM(H125:H131)</f>
        <v>0.35</v>
      </c>
      <c r="I133" s="45">
        <f>SUM(I125:I131)</f>
        <v>0.3</v>
      </c>
      <c r="J133" s="45">
        <f>SUM(J125:J131)</f>
        <v>0.25</v>
      </c>
      <c r="K133" s="45">
        <f>SUM(K125:K131)</f>
        <v>0.25</v>
      </c>
      <c r="L133" s="45">
        <f>SUM(L125:L131)</f>
        <v>0.25</v>
      </c>
      <c r="M133" s="45">
        <f>SUM(M125:M131)</f>
        <v>0.25</v>
      </c>
      <c r="N133" s="45">
        <f>SUM(N125:N131)</f>
        <v>0.25</v>
      </c>
      <c r="O133" s="45">
        <f>SUM(O125:O131)</f>
        <v>0.25</v>
      </c>
      <c r="P133" s="45">
        <f>SUM(P125:P131)</f>
        <v>0.25</v>
      </c>
      <c r="Q133" s="45">
        <f>SUM(Q125:Q131)</f>
        <v>0.25</v>
      </c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 x14ac:dyDescent="0.2">
      <c r="A134" s="4"/>
      <c r="B134" s="35" t="s">
        <v>48</v>
      </c>
      <c r="C134" s="223" t="s">
        <v>67</v>
      </c>
      <c r="D134" s="223" t="s">
        <v>38</v>
      </c>
      <c r="E134" s="36" t="s">
        <v>9</v>
      </c>
      <c r="F134" s="37"/>
      <c r="G134" s="37"/>
      <c r="H134" s="38"/>
      <c r="I134" s="37"/>
      <c r="J134" s="39"/>
      <c r="K134" s="40"/>
      <c r="L134" s="37"/>
      <c r="M134" s="39"/>
      <c r="N134" s="40"/>
      <c r="O134" s="37"/>
      <c r="P134" s="39"/>
      <c r="Q134" s="41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 x14ac:dyDescent="0.2">
      <c r="A135" s="4"/>
      <c r="B135" s="19" t="s">
        <v>68</v>
      </c>
      <c r="C135" s="224"/>
      <c r="D135" s="224"/>
      <c r="E135" s="20" t="s">
        <v>11</v>
      </c>
      <c r="F135" s="21"/>
      <c r="G135" s="21"/>
      <c r="H135" s="24"/>
      <c r="I135" s="21"/>
      <c r="J135" s="49"/>
      <c r="K135" s="15"/>
      <c r="L135" s="21"/>
      <c r="M135" s="49"/>
      <c r="N135" s="15"/>
      <c r="O135" s="21"/>
      <c r="P135" s="49"/>
      <c r="Q135" s="2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 x14ac:dyDescent="0.2">
      <c r="A136" s="4"/>
      <c r="B136" s="23"/>
      <c r="C136" s="224"/>
      <c r="D136" s="224"/>
      <c r="E136" s="20" t="s">
        <v>12</v>
      </c>
      <c r="F136" s="21"/>
      <c r="G136" s="21"/>
      <c r="H136" s="24"/>
      <c r="I136" s="14"/>
      <c r="J136" s="16"/>
      <c r="K136" s="15"/>
      <c r="L136" s="14"/>
      <c r="M136" s="16"/>
      <c r="N136" s="15"/>
      <c r="O136" s="14"/>
      <c r="P136" s="16"/>
      <c r="Q136" s="2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 x14ac:dyDescent="0.2">
      <c r="A137" s="4"/>
      <c r="B137" s="23"/>
      <c r="C137" s="224"/>
      <c r="D137" s="224"/>
      <c r="E137" s="20" t="s">
        <v>13</v>
      </c>
      <c r="F137" s="21"/>
      <c r="G137" s="21"/>
      <c r="H137" s="24"/>
      <c r="I137" s="14"/>
      <c r="J137" s="16"/>
      <c r="K137" s="15"/>
      <c r="L137" s="14"/>
      <c r="M137" s="16"/>
      <c r="N137" s="15"/>
      <c r="O137" s="14"/>
      <c r="P137" s="16"/>
      <c r="Q137" s="2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 x14ac:dyDescent="0.2">
      <c r="A138" s="4"/>
      <c r="B138" s="23"/>
      <c r="C138" s="224"/>
      <c r="D138" s="224"/>
      <c r="E138" s="20" t="s">
        <v>14</v>
      </c>
      <c r="F138" s="21"/>
      <c r="G138" s="21"/>
      <c r="H138" s="24"/>
      <c r="I138" s="24"/>
      <c r="J138" s="24"/>
      <c r="K138" s="24"/>
      <c r="L138" s="24"/>
      <c r="M138" s="24"/>
      <c r="N138" s="24"/>
      <c r="O138" s="24"/>
      <c r="P138" s="24"/>
      <c r="Q138" s="22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 x14ac:dyDescent="0.2">
      <c r="A139" s="4"/>
      <c r="B139" s="23"/>
      <c r="C139" s="224"/>
      <c r="D139" s="224"/>
      <c r="E139" s="20" t="s">
        <v>15</v>
      </c>
      <c r="F139" s="21"/>
      <c r="G139" s="21"/>
      <c r="H139" s="24"/>
      <c r="I139" s="14"/>
      <c r="J139" s="16"/>
      <c r="K139" s="15"/>
      <c r="L139" s="14"/>
      <c r="M139" s="16"/>
      <c r="N139" s="15"/>
      <c r="O139" s="14"/>
      <c r="P139" s="16"/>
      <c r="Q139" s="2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 x14ac:dyDescent="0.2">
      <c r="A140" s="4"/>
      <c r="B140" s="23"/>
      <c r="C140" s="224"/>
      <c r="D140" s="224"/>
      <c r="E140" s="20" t="s">
        <v>16</v>
      </c>
      <c r="F140" s="21">
        <v>0.2</v>
      </c>
      <c r="G140" s="21">
        <v>0.25</v>
      </c>
      <c r="H140" s="24">
        <v>0.25</v>
      </c>
      <c r="I140" s="14">
        <v>0.25</v>
      </c>
      <c r="J140" s="16">
        <v>0.25</v>
      </c>
      <c r="K140" s="15">
        <v>0.25</v>
      </c>
      <c r="L140" s="14">
        <v>0.25</v>
      </c>
      <c r="M140" s="16">
        <v>0.25</v>
      </c>
      <c r="N140" s="15">
        <v>0.25</v>
      </c>
      <c r="O140" s="14">
        <v>0.25</v>
      </c>
      <c r="P140" s="16">
        <v>0.25</v>
      </c>
      <c r="Q140" s="25">
        <v>0.25</v>
      </c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 x14ac:dyDescent="0.2">
      <c r="A141" s="4"/>
      <c r="B141" s="27"/>
      <c r="C141" s="225"/>
      <c r="D141" s="225"/>
      <c r="E141" s="28" t="s">
        <v>17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30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 thickBot="1" x14ac:dyDescent="0.25">
      <c r="A142" s="4"/>
      <c r="B142" s="42"/>
      <c r="C142" s="43"/>
      <c r="D142" s="43"/>
      <c r="E142" s="44" t="s">
        <v>18</v>
      </c>
      <c r="F142" s="45">
        <f>SUM(F134:F140)</f>
        <v>0.2</v>
      </c>
      <c r="G142" s="45">
        <f>SUM(G134:G140)</f>
        <v>0.25</v>
      </c>
      <c r="H142" s="45">
        <f>SUM(H134:H140)</f>
        <v>0.25</v>
      </c>
      <c r="I142" s="45">
        <f>SUM(I134:I140)</f>
        <v>0.25</v>
      </c>
      <c r="J142" s="45">
        <f>SUM(J134:J140)</f>
        <v>0.25</v>
      </c>
      <c r="K142" s="45">
        <f>SUM(K134:K140)</f>
        <v>0.25</v>
      </c>
      <c r="L142" s="45">
        <f>SUM(L134:L140)</f>
        <v>0.25</v>
      </c>
      <c r="M142" s="45">
        <f>SUM(M134:M140)</f>
        <v>0.25</v>
      </c>
      <c r="N142" s="45">
        <f>SUM(N134:N140)</f>
        <v>0.25</v>
      </c>
      <c r="O142" s="45">
        <f>SUM(O134:O140)</f>
        <v>0.25</v>
      </c>
      <c r="P142" s="45">
        <f>SUM(P134:P140)</f>
        <v>0.25</v>
      </c>
      <c r="Q142" s="45">
        <f>SUM(Q134:Q140)</f>
        <v>0.25</v>
      </c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 x14ac:dyDescent="0.2">
      <c r="A143" s="4"/>
      <c r="B143" s="35" t="s">
        <v>183</v>
      </c>
      <c r="C143" s="223" t="s">
        <v>38</v>
      </c>
      <c r="D143" s="223" t="s">
        <v>38</v>
      </c>
      <c r="E143" s="36" t="s">
        <v>9</v>
      </c>
      <c r="F143" s="60"/>
      <c r="G143" s="60"/>
      <c r="H143" s="79"/>
      <c r="I143" s="60"/>
      <c r="J143" s="80"/>
      <c r="K143" s="81"/>
      <c r="L143" s="60"/>
      <c r="M143" s="80"/>
      <c r="N143" s="81"/>
      <c r="O143" s="60"/>
      <c r="P143" s="80"/>
      <c r="Q143" s="41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 x14ac:dyDescent="0.2">
      <c r="A144" s="4"/>
      <c r="B144" s="19" t="s">
        <v>68</v>
      </c>
      <c r="C144" s="224"/>
      <c r="D144" s="224"/>
      <c r="E144" s="20" t="s">
        <v>11</v>
      </c>
      <c r="F144" s="56"/>
      <c r="G144" s="56"/>
      <c r="H144" s="57"/>
      <c r="I144" s="56"/>
      <c r="J144" s="58"/>
      <c r="K144" s="53"/>
      <c r="L144" s="56"/>
      <c r="M144" s="58"/>
      <c r="N144" s="53"/>
      <c r="O144" s="56"/>
      <c r="P144" s="58"/>
      <c r="Q144" s="2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 x14ac:dyDescent="0.2">
      <c r="A145" s="4"/>
      <c r="B145" s="23"/>
      <c r="C145" s="224"/>
      <c r="D145" s="224"/>
      <c r="E145" s="20" t="s">
        <v>12</v>
      </c>
      <c r="F145" s="56"/>
      <c r="G145" s="56"/>
      <c r="H145" s="57"/>
      <c r="I145" s="52"/>
      <c r="J145" s="54"/>
      <c r="K145" s="53"/>
      <c r="L145" s="52"/>
      <c r="M145" s="54"/>
      <c r="N145" s="53"/>
      <c r="O145" s="52"/>
      <c r="P145" s="54"/>
      <c r="Q145" s="2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 x14ac:dyDescent="0.2">
      <c r="A146" s="4"/>
      <c r="B146" s="23"/>
      <c r="C146" s="224"/>
      <c r="D146" s="224"/>
      <c r="E146" s="20" t="s">
        <v>13</v>
      </c>
      <c r="F146" s="56"/>
      <c r="G146" s="56"/>
      <c r="H146" s="57"/>
      <c r="I146" s="52"/>
      <c r="J146" s="54"/>
      <c r="K146" s="53"/>
      <c r="L146" s="52"/>
      <c r="M146" s="54"/>
      <c r="N146" s="53"/>
      <c r="O146" s="52"/>
      <c r="P146" s="54"/>
      <c r="Q146" s="2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 x14ac:dyDescent="0.2">
      <c r="A147" s="4"/>
      <c r="B147" s="23"/>
      <c r="C147" s="224"/>
      <c r="D147" s="224"/>
      <c r="E147" s="20" t="s">
        <v>14</v>
      </c>
      <c r="F147" s="56">
        <v>0.15</v>
      </c>
      <c r="G147" s="56">
        <v>0.15</v>
      </c>
      <c r="H147" s="57">
        <v>0.15</v>
      </c>
      <c r="I147" s="52">
        <v>0.15</v>
      </c>
      <c r="J147" s="54">
        <v>0.15</v>
      </c>
      <c r="K147" s="53">
        <v>0.15</v>
      </c>
      <c r="L147" s="52">
        <v>0.15</v>
      </c>
      <c r="M147" s="54">
        <v>0.15</v>
      </c>
      <c r="N147" s="53">
        <v>0.15</v>
      </c>
      <c r="O147" s="52">
        <v>0.15</v>
      </c>
      <c r="P147" s="54">
        <v>0.15</v>
      </c>
      <c r="Q147" s="25">
        <v>0.15</v>
      </c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 x14ac:dyDescent="0.2">
      <c r="A148" s="4"/>
      <c r="B148" s="23"/>
      <c r="C148" s="224"/>
      <c r="D148" s="224"/>
      <c r="E148" s="20" t="s">
        <v>15</v>
      </c>
      <c r="F148" s="56"/>
      <c r="G148" s="56"/>
      <c r="H148" s="57"/>
      <c r="I148" s="52"/>
      <c r="J148" s="54"/>
      <c r="K148" s="53"/>
      <c r="L148" s="52"/>
      <c r="M148" s="54"/>
      <c r="N148" s="53"/>
      <c r="O148" s="52"/>
      <c r="P148" s="54"/>
      <c r="Q148" s="2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 x14ac:dyDescent="0.2">
      <c r="A149" s="4"/>
      <c r="B149" s="23"/>
      <c r="C149" s="224"/>
      <c r="D149" s="224"/>
      <c r="E149" s="20" t="s">
        <v>16</v>
      </c>
      <c r="F149" s="56"/>
      <c r="G149" s="56"/>
      <c r="H149" s="57"/>
      <c r="I149" s="52"/>
      <c r="J149" s="54"/>
      <c r="K149" s="53"/>
      <c r="L149" s="52"/>
      <c r="M149" s="54"/>
      <c r="N149" s="53"/>
      <c r="O149" s="52"/>
      <c r="P149" s="54"/>
      <c r="Q149" s="2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 x14ac:dyDescent="0.2">
      <c r="A150" s="4"/>
      <c r="B150" s="27"/>
      <c r="C150" s="225"/>
      <c r="D150" s="225"/>
      <c r="E150" s="28" t="s">
        <v>17</v>
      </c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30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 thickBot="1" x14ac:dyDescent="0.25">
      <c r="A151" s="4"/>
      <c r="B151" s="42"/>
      <c r="C151" s="43"/>
      <c r="D151" s="43"/>
      <c r="E151" s="44" t="s">
        <v>18</v>
      </c>
      <c r="F151" s="45">
        <f>SUM(F143:F149)</f>
        <v>0.15</v>
      </c>
      <c r="G151" s="45">
        <f>SUM(G143:G149)</f>
        <v>0.15</v>
      </c>
      <c r="H151" s="45">
        <f>SUM(H143:H149)</f>
        <v>0.15</v>
      </c>
      <c r="I151" s="45">
        <f>SUM(I143:I149)</f>
        <v>0.15</v>
      </c>
      <c r="J151" s="45">
        <f>SUM(J143:J149)</f>
        <v>0.15</v>
      </c>
      <c r="K151" s="45">
        <f>SUM(K143:K149)</f>
        <v>0.15</v>
      </c>
      <c r="L151" s="45">
        <f>SUM(L143:L149)</f>
        <v>0.15</v>
      </c>
      <c r="M151" s="45">
        <f>SUM(M143:M149)</f>
        <v>0.15</v>
      </c>
      <c r="N151" s="45">
        <f>SUM(N143:N149)</f>
        <v>0.15</v>
      </c>
      <c r="O151" s="45">
        <f>SUM(O143:O149)</f>
        <v>0.15</v>
      </c>
      <c r="P151" s="45">
        <f>SUM(P143:P149)</f>
        <v>0.15</v>
      </c>
      <c r="Q151" s="45">
        <f>SUM(Q143:Q149)</f>
        <v>0.15</v>
      </c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 x14ac:dyDescent="0.2">
      <c r="A153" s="4"/>
      <c r="B153" s="4"/>
      <c r="C153" s="4"/>
      <c r="D153" s="4"/>
      <c r="E153" s="4"/>
      <c r="F153" s="4" t="s">
        <v>69</v>
      </c>
      <c r="G153" s="4"/>
      <c r="H153" s="4"/>
      <c r="I153" s="4"/>
      <c r="J153" s="4" t="s">
        <v>70</v>
      </c>
      <c r="K153" s="4"/>
      <c r="L153" s="4" t="s">
        <v>71</v>
      </c>
      <c r="M153" s="4"/>
      <c r="N153" s="4"/>
      <c r="O153" s="4" t="s">
        <v>72</v>
      </c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 x14ac:dyDescent="0.2">
      <c r="A154" s="4"/>
      <c r="B154" s="4"/>
      <c r="C154" s="4"/>
      <c r="D154" s="4"/>
      <c r="E154" s="4"/>
      <c r="F154" s="4" t="s">
        <v>73</v>
      </c>
      <c r="G154" s="4"/>
      <c r="H154" s="4"/>
      <c r="I154" s="4"/>
      <c r="J154" s="4" t="s">
        <v>74</v>
      </c>
      <c r="K154" s="4"/>
      <c r="L154" s="4" t="s">
        <v>75</v>
      </c>
      <c r="M154" s="4"/>
      <c r="N154" s="4"/>
      <c r="O154" s="4" t="s">
        <v>76</v>
      </c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 x14ac:dyDescent="0.2">
      <c r="A155" s="4"/>
      <c r="B155" s="4"/>
      <c r="C155" s="4"/>
      <c r="D155" s="4"/>
      <c r="E155" s="4"/>
      <c r="F155" s="4" t="s">
        <v>77</v>
      </c>
      <c r="G155" s="4"/>
      <c r="H155" s="4"/>
      <c r="I155" s="4"/>
      <c r="J155" s="4"/>
      <c r="K155" s="4"/>
      <c r="L155" s="4"/>
      <c r="M155" s="4"/>
      <c r="N155" s="4"/>
      <c r="O155" s="4" t="s">
        <v>78</v>
      </c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</sheetData>
  <mergeCells count="36">
    <mergeCell ref="C125:C132"/>
    <mergeCell ref="D125:D132"/>
    <mergeCell ref="C134:C141"/>
    <mergeCell ref="D134:D141"/>
    <mergeCell ref="C143:C150"/>
    <mergeCell ref="D143:D150"/>
    <mergeCell ref="C107:C114"/>
    <mergeCell ref="D107:D114"/>
    <mergeCell ref="C116:C123"/>
    <mergeCell ref="D116:D123"/>
    <mergeCell ref="C80:C87"/>
    <mergeCell ref="D80:D87"/>
    <mergeCell ref="C89:C96"/>
    <mergeCell ref="D89:D96"/>
    <mergeCell ref="C98:C105"/>
    <mergeCell ref="D98:D105"/>
    <mergeCell ref="C71:C78"/>
    <mergeCell ref="D71:D78"/>
    <mergeCell ref="C53:C60"/>
    <mergeCell ref="D53:D60"/>
    <mergeCell ref="C62:C69"/>
    <mergeCell ref="D62:D69"/>
    <mergeCell ref="C44:C51"/>
    <mergeCell ref="D44:D51"/>
    <mergeCell ref="C17:C24"/>
    <mergeCell ref="D17:D24"/>
    <mergeCell ref="C26:C33"/>
    <mergeCell ref="D26:D33"/>
    <mergeCell ref="C35:C42"/>
    <mergeCell ref="D35:D42"/>
    <mergeCell ref="B2:Q2"/>
    <mergeCell ref="B3:Q3"/>
    <mergeCell ref="B4:Q4"/>
    <mergeCell ref="B5:Q5"/>
    <mergeCell ref="C8:C15"/>
    <mergeCell ref="D8:D15"/>
  </mergeCells>
  <conditionalFormatting sqref="B8 D8">
    <cfRule type="expression" dxfId="465" priority="87">
      <formula>#REF!="Total"</formula>
    </cfRule>
  </conditionalFormatting>
  <conditionalFormatting sqref="B8:B15 D53:E53 F53:H59 B53:B60 E54:E59 E60:Q60 D62:E62 B62:B69 E63:E68 E69:Q69 D71:E71 F71:H77 B71:B78 E72:E77 E78:Q78 D80:E80 F80:H86 B80:B87 E81:E86 E87:Q87 D89:E89 F89:H95 B89:B96 E90:E95 E96:Q96 C134:D134 E134:H140 B134:B141 I138:Q138 E141:Q141 D143:E143 F143:H149 B143:B150 E144:E149 E150:Q150 B151:E151 B61:Q61 B70:Q70 B79:Q79 B88:Q88 B97:Q97 B142:E142">
    <cfRule type="expression" dxfId="464" priority="88">
      <formula>$E8="Total"</formula>
    </cfRule>
  </conditionalFormatting>
  <conditionalFormatting sqref="B17:B24">
    <cfRule type="expression" dxfId="463" priority="89">
      <formula>$E17="Total"</formula>
    </cfRule>
  </conditionalFormatting>
  <conditionalFormatting sqref="B35:B42">
    <cfRule type="expression" dxfId="462" priority="90">
      <formula>$E35="Total"</formula>
    </cfRule>
  </conditionalFormatting>
  <conditionalFormatting sqref="B44:B51">
    <cfRule type="expression" dxfId="460" priority="92">
      <formula>$E44="Total"</formula>
    </cfRule>
  </conditionalFormatting>
  <conditionalFormatting sqref="B53 D53">
    <cfRule type="expression" dxfId="458" priority="94">
      <formula>#REF!="Total"</formula>
    </cfRule>
  </conditionalFormatting>
  <conditionalFormatting sqref="B62 D62">
    <cfRule type="expression" dxfId="457" priority="95">
      <formula>$E61="Total"</formula>
    </cfRule>
  </conditionalFormatting>
  <conditionalFormatting sqref="B98:B105">
    <cfRule type="expression" dxfId="456" priority="96">
      <formula>$E98="Total"</formula>
    </cfRule>
  </conditionalFormatting>
  <conditionalFormatting sqref="B107:B114">
    <cfRule type="expression" dxfId="455" priority="97">
      <formula>$E107="Total"</formula>
    </cfRule>
  </conditionalFormatting>
  <conditionalFormatting sqref="B116:B123">
    <cfRule type="expression" dxfId="454" priority="98">
      <formula>$E116="Total"</formula>
    </cfRule>
  </conditionalFormatting>
  <conditionalFormatting sqref="B125:B132">
    <cfRule type="expression" dxfId="452" priority="100">
      <formula>$E125="Total"</formula>
    </cfRule>
  </conditionalFormatting>
  <conditionalFormatting sqref="E9:E14 F10:H14 E15:Q15 E18:E23 F19:H23 E24:Q24 E36:E41 E42:Q42 E51:Q51 E105:Q105 E107:E113 G111:H113 E114:Q114 B7:Q7">
    <cfRule type="expression" dxfId="451" priority="101">
      <formula>$E7="Total"</formula>
    </cfRule>
  </conditionalFormatting>
  <conditionalFormatting sqref="B16:Q16">
    <cfRule type="expression" dxfId="450" priority="102">
      <formula>$E16="Total"</formula>
    </cfRule>
  </conditionalFormatting>
  <conditionalFormatting sqref="B26:Q34 B25:E25">
    <cfRule type="expression" dxfId="449" priority="103">
      <formula>$E25="Total"</formula>
    </cfRule>
  </conditionalFormatting>
  <conditionalFormatting sqref="B43:E43 I43:Q43">
    <cfRule type="expression" dxfId="448" priority="104">
      <formula>$E43="Total"</formula>
    </cfRule>
  </conditionalFormatting>
  <conditionalFormatting sqref="B52:E52">
    <cfRule type="expression" dxfId="446" priority="106">
      <formula>$E52="Total"</formula>
    </cfRule>
  </conditionalFormatting>
  <conditionalFormatting sqref="B106:E106">
    <cfRule type="expression" dxfId="445" priority="107">
      <formula>$E106="Total"</formula>
    </cfRule>
  </conditionalFormatting>
  <conditionalFormatting sqref="B115:E115">
    <cfRule type="expression" dxfId="444" priority="108">
      <formula>$E115="Total"</formula>
    </cfRule>
  </conditionalFormatting>
  <conditionalFormatting sqref="B124:E124">
    <cfRule type="expression" dxfId="443" priority="109">
      <formula>$E124="Total"</formula>
    </cfRule>
  </conditionalFormatting>
  <conditionalFormatting sqref="B133:E133">
    <cfRule type="expression" dxfId="441" priority="111">
      <formula>$E133="Total"</formula>
    </cfRule>
  </conditionalFormatting>
  <conditionalFormatting sqref="C44:D44">
    <cfRule type="expression" dxfId="440" priority="112">
      <formula>$E44="Total"</formula>
    </cfRule>
  </conditionalFormatting>
  <conditionalFormatting sqref="C107:D107">
    <cfRule type="expression" dxfId="439" priority="113">
      <formula>$E107="Total"</formula>
    </cfRule>
  </conditionalFormatting>
  <conditionalFormatting sqref="C35:E35">
    <cfRule type="expression" dxfId="438" priority="114">
      <formula>$E35="Total"</formula>
    </cfRule>
  </conditionalFormatting>
  <conditionalFormatting sqref="C8:H8">
    <cfRule type="expression" dxfId="436" priority="116">
      <formula>$E8="Total"</formula>
    </cfRule>
  </conditionalFormatting>
  <conditionalFormatting sqref="C17:H17">
    <cfRule type="expression" dxfId="435" priority="117">
      <formula>$E17="Total"</formula>
    </cfRule>
  </conditionalFormatting>
  <conditionalFormatting sqref="D98">
    <cfRule type="expression" dxfId="432" priority="120">
      <formula>$E98="Total"</formula>
    </cfRule>
  </conditionalFormatting>
  <conditionalFormatting sqref="D116:E116 E117:E122 E123:Q123">
    <cfRule type="expression" dxfId="431" priority="121">
      <formula>$E116="Total"</formula>
    </cfRule>
  </conditionalFormatting>
  <conditionalFormatting sqref="D125:E125 E126:E131 E132:Q132">
    <cfRule type="expression" dxfId="429" priority="123">
      <formula>$E125="Total"</formula>
    </cfRule>
  </conditionalFormatting>
  <conditionalFormatting sqref="E44:H50">
    <cfRule type="expression" dxfId="428" priority="124">
      <formula>$E44="Total"</formula>
    </cfRule>
  </conditionalFormatting>
  <conditionalFormatting sqref="E98:H104">
    <cfRule type="expression" dxfId="427" priority="125">
      <formula>$E98="Total"</formula>
    </cfRule>
  </conditionalFormatting>
  <conditionalFormatting sqref="F107:F113">
    <cfRule type="expression" dxfId="426" priority="126">
      <formula>$B107="Total"</formula>
    </cfRule>
  </conditionalFormatting>
  <conditionalFormatting sqref="F37:H41">
    <cfRule type="expression" dxfId="425" priority="127">
      <formula>$E37="Total"</formula>
    </cfRule>
  </conditionalFormatting>
  <conditionalFormatting sqref="F62:H68">
    <cfRule type="expression" dxfId="422" priority="130">
      <formula>$E62="Total"</formula>
    </cfRule>
  </conditionalFormatting>
  <conditionalFormatting sqref="F116:H122">
    <cfRule type="expression" dxfId="421" priority="131">
      <formula>$E116="Total"</formula>
    </cfRule>
  </conditionalFormatting>
  <conditionalFormatting sqref="F125:H131">
    <cfRule type="expression" dxfId="419" priority="133">
      <formula>$E125="Total"</formula>
    </cfRule>
  </conditionalFormatting>
  <conditionalFormatting sqref="F9:Q9">
    <cfRule type="expression" dxfId="418" priority="134">
      <formula>$E9="Total"</formula>
    </cfRule>
  </conditionalFormatting>
  <conditionalFormatting sqref="F18:Q18">
    <cfRule type="expression" dxfId="417" priority="135">
      <formula>$E18="Total"</formula>
    </cfRule>
  </conditionalFormatting>
  <conditionalFormatting sqref="F35:Q36">
    <cfRule type="expression" dxfId="416" priority="136">
      <formula>$E35="Total"</formula>
    </cfRule>
  </conditionalFormatting>
  <conditionalFormatting sqref="G107:H109">
    <cfRule type="expression" dxfId="415" priority="137">
      <formula>$E107="Total"</formula>
    </cfRule>
  </conditionalFormatting>
  <conditionalFormatting sqref="G110:Q110">
    <cfRule type="expression" dxfId="414" priority="138">
      <formula>$B110="Total"</formula>
    </cfRule>
  </conditionalFormatting>
  <conditionalFormatting sqref="I23:Q23">
    <cfRule type="expression" dxfId="413" priority="139">
      <formula>$E23="Total"</formula>
    </cfRule>
  </conditionalFormatting>
  <conditionalFormatting sqref="I66">
    <cfRule type="expression" dxfId="411" priority="86">
      <formula>$E66="Total"</formula>
    </cfRule>
  </conditionalFormatting>
  <conditionalFormatting sqref="J66">
    <cfRule type="expression" dxfId="410" priority="85">
      <formula>$E66="Total"</formula>
    </cfRule>
  </conditionalFormatting>
  <conditionalFormatting sqref="K66">
    <cfRule type="expression" dxfId="409" priority="84">
      <formula>$E66="Total"</formula>
    </cfRule>
  </conditionalFormatting>
  <conditionalFormatting sqref="L66">
    <cfRule type="expression" dxfId="408" priority="83">
      <formula>$E66="Total"</formula>
    </cfRule>
  </conditionalFormatting>
  <conditionalFormatting sqref="M66">
    <cfRule type="expression" dxfId="407" priority="82">
      <formula>$E66="Total"</formula>
    </cfRule>
  </conditionalFormatting>
  <conditionalFormatting sqref="N66">
    <cfRule type="expression" dxfId="406" priority="81">
      <formula>$E66="Total"</formula>
    </cfRule>
  </conditionalFormatting>
  <conditionalFormatting sqref="O66">
    <cfRule type="expression" dxfId="405" priority="80">
      <formula>$E66="Total"</formula>
    </cfRule>
  </conditionalFormatting>
  <conditionalFormatting sqref="P66">
    <cfRule type="expression" dxfId="404" priority="79">
      <formula>$E66="Total"</formula>
    </cfRule>
  </conditionalFormatting>
  <conditionalFormatting sqref="Q66">
    <cfRule type="expression" dxfId="403" priority="78">
      <formula>$E66="Total"</formula>
    </cfRule>
  </conditionalFormatting>
  <conditionalFormatting sqref="XFD16">
    <cfRule type="expression" dxfId="79" priority="77">
      <formula>$E16="Total"</formula>
    </cfRule>
  </conditionalFormatting>
  <conditionalFormatting sqref="F25">
    <cfRule type="expression" dxfId="78" priority="76">
      <formula>$E25="Total"</formula>
    </cfRule>
  </conditionalFormatting>
  <conditionalFormatting sqref="G25">
    <cfRule type="expression" dxfId="77" priority="75">
      <formula>$E25="Total"</formula>
    </cfRule>
  </conditionalFormatting>
  <conditionalFormatting sqref="H25">
    <cfRule type="expression" dxfId="76" priority="74">
      <formula>$E25="Total"</formula>
    </cfRule>
  </conditionalFormatting>
  <conditionalFormatting sqref="I25">
    <cfRule type="expression" dxfId="75" priority="73">
      <formula>$E25="Total"</formula>
    </cfRule>
  </conditionalFormatting>
  <conditionalFormatting sqref="J25">
    <cfRule type="expression" dxfId="74" priority="72">
      <formula>$E25="Total"</formula>
    </cfRule>
  </conditionalFormatting>
  <conditionalFormatting sqref="K25">
    <cfRule type="expression" dxfId="73" priority="71">
      <formula>$E25="Total"</formula>
    </cfRule>
  </conditionalFormatting>
  <conditionalFormatting sqref="L25">
    <cfRule type="expression" dxfId="72" priority="70">
      <formula>$E25="Total"</formula>
    </cfRule>
  </conditionalFormatting>
  <conditionalFormatting sqref="M25">
    <cfRule type="expression" dxfId="71" priority="69">
      <formula>$E25="Total"</formula>
    </cfRule>
  </conditionalFormatting>
  <conditionalFormatting sqref="N25">
    <cfRule type="expression" dxfId="70" priority="68">
      <formula>$E25="Total"</formula>
    </cfRule>
  </conditionalFormatting>
  <conditionalFormatting sqref="O25">
    <cfRule type="expression" dxfId="69" priority="67">
      <formula>$E25="Total"</formula>
    </cfRule>
  </conditionalFormatting>
  <conditionalFormatting sqref="P25">
    <cfRule type="expression" dxfId="68" priority="66">
      <formula>$E25="Total"</formula>
    </cfRule>
  </conditionalFormatting>
  <conditionalFormatting sqref="Q25">
    <cfRule type="expression" dxfId="67" priority="65">
      <formula>$E25="Total"</formula>
    </cfRule>
  </conditionalFormatting>
  <conditionalFormatting sqref="F43">
    <cfRule type="expression" dxfId="66" priority="64">
      <formula>$E43="Total"</formula>
    </cfRule>
  </conditionalFormatting>
  <conditionalFormatting sqref="G43">
    <cfRule type="expression" dxfId="65" priority="63">
      <formula>$E43="Total"</formula>
    </cfRule>
  </conditionalFormatting>
  <conditionalFormatting sqref="H43">
    <cfRule type="expression" dxfId="64" priority="62">
      <formula>$E43="Total"</formula>
    </cfRule>
  </conditionalFormatting>
  <conditionalFormatting sqref="F52">
    <cfRule type="expression" dxfId="63" priority="61">
      <formula>$E52="Total"</formula>
    </cfRule>
  </conditionalFormatting>
  <conditionalFormatting sqref="G52">
    <cfRule type="expression" dxfId="62" priority="60">
      <formula>$E52="Total"</formula>
    </cfRule>
  </conditionalFormatting>
  <conditionalFormatting sqref="H52">
    <cfRule type="expression" dxfId="61" priority="59">
      <formula>$E52="Total"</formula>
    </cfRule>
  </conditionalFormatting>
  <conditionalFormatting sqref="I52">
    <cfRule type="expression" dxfId="60" priority="58">
      <formula>$E52="Total"</formula>
    </cfRule>
  </conditionalFormatting>
  <conditionalFormatting sqref="J52">
    <cfRule type="expression" dxfId="59" priority="57">
      <formula>$E52="Total"</formula>
    </cfRule>
  </conditionalFormatting>
  <conditionalFormatting sqref="K52">
    <cfRule type="expression" dxfId="58" priority="56">
      <formula>$E52="Total"</formula>
    </cfRule>
  </conditionalFormatting>
  <conditionalFormatting sqref="L52:Q52">
    <cfRule type="expression" dxfId="57" priority="55">
      <formula>$E52="Total"</formula>
    </cfRule>
  </conditionalFormatting>
  <conditionalFormatting sqref="XFD52">
    <cfRule type="expression" dxfId="55" priority="53">
      <formula>$E52="Total"</formula>
    </cfRule>
  </conditionalFormatting>
  <conditionalFormatting sqref="XFD79">
    <cfRule type="expression" dxfId="54" priority="52">
      <formula>$E79="Total"</formula>
    </cfRule>
  </conditionalFormatting>
  <conditionalFormatting sqref="F106">
    <cfRule type="expression" dxfId="52" priority="51">
      <formula>$E106="Total"</formula>
    </cfRule>
  </conditionalFormatting>
  <conditionalFormatting sqref="G106">
    <cfRule type="expression" dxfId="51" priority="50">
      <formula>$E106="Total"</formula>
    </cfRule>
  </conditionalFormatting>
  <conditionalFormatting sqref="H106">
    <cfRule type="expression" dxfId="50" priority="49">
      <formula>$E106="Total"</formula>
    </cfRule>
  </conditionalFormatting>
  <conditionalFormatting sqref="I106:Q106">
    <cfRule type="expression" dxfId="48" priority="47">
      <formula>$E106="Total"</formula>
    </cfRule>
  </conditionalFormatting>
  <conditionalFormatting sqref="F115">
    <cfRule type="expression" dxfId="47" priority="46">
      <formula>$E115="Total"</formula>
    </cfRule>
  </conditionalFormatting>
  <conditionalFormatting sqref="G115">
    <cfRule type="expression" dxfId="46" priority="45">
      <formula>$E115="Total"</formula>
    </cfRule>
  </conditionalFormatting>
  <conditionalFormatting sqref="H115">
    <cfRule type="expression" dxfId="45" priority="44">
      <formula>$E115="Total"</formula>
    </cfRule>
  </conditionalFormatting>
  <conditionalFormatting sqref="I115">
    <cfRule type="expression" dxfId="44" priority="43">
      <formula>$E115="Total"</formula>
    </cfRule>
  </conditionalFormatting>
  <conditionalFormatting sqref="J115">
    <cfRule type="expression" dxfId="43" priority="42">
      <formula>$E115="Total"</formula>
    </cfRule>
  </conditionalFormatting>
  <conditionalFormatting sqref="K115">
    <cfRule type="expression" dxfId="42" priority="41">
      <formula>$E115="Total"</formula>
    </cfRule>
  </conditionalFormatting>
  <conditionalFormatting sqref="L115">
    <cfRule type="expression" dxfId="41" priority="40">
      <formula>$E115="Total"</formula>
    </cfRule>
  </conditionalFormatting>
  <conditionalFormatting sqref="M115">
    <cfRule type="expression" dxfId="40" priority="39">
      <formula>$E115="Total"</formula>
    </cfRule>
  </conditionalFormatting>
  <conditionalFormatting sqref="N115">
    <cfRule type="expression" dxfId="39" priority="38">
      <formula>$E115="Total"</formula>
    </cfRule>
  </conditionalFormatting>
  <conditionalFormatting sqref="O115">
    <cfRule type="expression" dxfId="38" priority="37">
      <formula>$E115="Total"</formula>
    </cfRule>
  </conditionalFormatting>
  <conditionalFormatting sqref="P115">
    <cfRule type="expression" dxfId="37" priority="36">
      <formula>$E115="Total"</formula>
    </cfRule>
  </conditionalFormatting>
  <conditionalFormatting sqref="Q115">
    <cfRule type="expression" dxfId="36" priority="35">
      <formula>$E115="Total"</formula>
    </cfRule>
  </conditionalFormatting>
  <conditionalFormatting sqref="F124">
    <cfRule type="expression" dxfId="35" priority="34">
      <formula>$E124="Total"</formula>
    </cfRule>
  </conditionalFormatting>
  <conditionalFormatting sqref="G124">
    <cfRule type="expression" dxfId="34" priority="33">
      <formula>$E124="Total"</formula>
    </cfRule>
  </conditionalFormatting>
  <conditionalFormatting sqref="H124">
    <cfRule type="expression" dxfId="33" priority="32">
      <formula>$E124="Total"</formula>
    </cfRule>
  </conditionalFormatting>
  <conditionalFormatting sqref="I124">
    <cfRule type="expression" dxfId="32" priority="31">
      <formula>$E124="Total"</formula>
    </cfRule>
  </conditionalFormatting>
  <conditionalFormatting sqref="J124">
    <cfRule type="expression" dxfId="31" priority="30">
      <formula>$E124="Total"</formula>
    </cfRule>
  </conditionalFormatting>
  <conditionalFormatting sqref="K124:Q124">
    <cfRule type="expression" dxfId="30" priority="29">
      <formula>$E124="Total"</formula>
    </cfRule>
  </conditionalFormatting>
  <conditionalFormatting sqref="F133">
    <cfRule type="expression" dxfId="28" priority="28">
      <formula>$E133="Total"</formula>
    </cfRule>
  </conditionalFormatting>
  <conditionalFormatting sqref="G133">
    <cfRule type="expression" dxfId="27" priority="27">
      <formula>$E133="Total"</formula>
    </cfRule>
  </conditionalFormatting>
  <conditionalFormatting sqref="H133">
    <cfRule type="expression" dxfId="26" priority="26">
      <formula>$E133="Total"</formula>
    </cfRule>
  </conditionalFormatting>
  <conditionalFormatting sqref="I133:Q133">
    <cfRule type="expression" dxfId="25" priority="25">
      <formula>$E133="Total"</formula>
    </cfRule>
  </conditionalFormatting>
  <conditionalFormatting sqref="F142">
    <cfRule type="expression" dxfId="23" priority="24">
      <formula>$E142="Total"</formula>
    </cfRule>
  </conditionalFormatting>
  <conditionalFormatting sqref="G142">
    <cfRule type="expression" dxfId="22" priority="23">
      <formula>$E142="Total"</formula>
    </cfRule>
  </conditionalFormatting>
  <conditionalFormatting sqref="H142">
    <cfRule type="expression" dxfId="21" priority="22">
      <formula>$E142="Total"</formula>
    </cfRule>
  </conditionalFormatting>
  <conditionalFormatting sqref="I142">
    <cfRule type="expression" dxfId="20" priority="21">
      <formula>$E142="Total"</formula>
    </cfRule>
  </conditionalFormatting>
  <conditionalFormatting sqref="J142">
    <cfRule type="expression" dxfId="19" priority="20">
      <formula>$E142="Total"</formula>
    </cfRule>
  </conditionalFormatting>
  <conditionalFormatting sqref="K142">
    <cfRule type="expression" dxfId="18" priority="19">
      <formula>$E142="Total"</formula>
    </cfRule>
  </conditionalFormatting>
  <conditionalFormatting sqref="L142">
    <cfRule type="expression" dxfId="17" priority="18">
      <formula>$E142="Total"</formula>
    </cfRule>
  </conditionalFormatting>
  <conditionalFormatting sqref="M142">
    <cfRule type="expression" dxfId="16" priority="17">
      <formula>$E142="Total"</formula>
    </cfRule>
  </conditionalFormatting>
  <conditionalFormatting sqref="N142">
    <cfRule type="expression" dxfId="15" priority="16">
      <formula>$E142="Total"</formula>
    </cfRule>
  </conditionalFormatting>
  <conditionalFormatting sqref="O142">
    <cfRule type="expression" dxfId="14" priority="15">
      <formula>$E142="Total"</formula>
    </cfRule>
  </conditionalFormatting>
  <conditionalFormatting sqref="P142">
    <cfRule type="expression" dxfId="13" priority="14">
      <formula>$E142="Total"</formula>
    </cfRule>
  </conditionalFormatting>
  <conditionalFormatting sqref="Q142">
    <cfRule type="expression" dxfId="12" priority="13">
      <formula>$E142="Total"</formula>
    </cfRule>
  </conditionalFormatting>
  <conditionalFormatting sqref="F151">
    <cfRule type="expression" dxfId="11" priority="12">
      <formula>$E151="Total"</formula>
    </cfRule>
  </conditionalFormatting>
  <conditionalFormatting sqref="G151">
    <cfRule type="expression" dxfId="10" priority="11">
      <formula>$E151="Total"</formula>
    </cfRule>
  </conditionalFormatting>
  <conditionalFormatting sqref="H151">
    <cfRule type="expression" dxfId="9" priority="10">
      <formula>$E151="Total"</formula>
    </cfRule>
  </conditionalFormatting>
  <conditionalFormatting sqref="I151">
    <cfRule type="expression" dxfId="8" priority="9">
      <formula>$E151="Total"</formula>
    </cfRule>
  </conditionalFormatting>
  <conditionalFormatting sqref="J151">
    <cfRule type="expression" dxfId="7" priority="8">
      <formula>$E151="Total"</formula>
    </cfRule>
  </conditionalFormatting>
  <conditionalFormatting sqref="K151">
    <cfRule type="expression" dxfId="6" priority="7">
      <formula>$E151="Total"</formula>
    </cfRule>
  </conditionalFormatting>
  <conditionalFormatting sqref="L151">
    <cfRule type="expression" dxfId="5" priority="6">
      <formula>$E151="Total"</formula>
    </cfRule>
  </conditionalFormatting>
  <conditionalFormatting sqref="M151">
    <cfRule type="expression" dxfId="4" priority="5">
      <formula>$E151="Total"</formula>
    </cfRule>
  </conditionalFormatting>
  <conditionalFormatting sqref="N151">
    <cfRule type="expression" dxfId="3" priority="4">
      <formula>$E151="Total"</formula>
    </cfRule>
  </conditionalFormatting>
  <conditionalFormatting sqref="O151">
    <cfRule type="expression" dxfId="2" priority="3">
      <formula>$E151="Total"</formula>
    </cfRule>
  </conditionalFormatting>
  <conditionalFormatting sqref="P151">
    <cfRule type="expression" dxfId="1" priority="2">
      <formula>$E151="Total"</formula>
    </cfRule>
  </conditionalFormatting>
  <conditionalFormatting sqref="Q151">
    <cfRule type="expression" dxfId="0" priority="1">
      <formula>$E151="Total"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B2117-61F8-6C44-82D2-94D4BC1F3189}">
  <dimension ref="B1:Q1000"/>
  <sheetViews>
    <sheetView tabSelected="1" workbookViewId="0">
      <selection activeCell="Q23" sqref="Q23"/>
    </sheetView>
  </sheetViews>
  <sheetFormatPr baseColWidth="10" defaultColWidth="14.5" defaultRowHeight="15" x14ac:dyDescent="0.2"/>
  <cols>
    <col min="1" max="1" width="8.83203125" customWidth="1"/>
    <col min="2" max="2" width="25.83203125" customWidth="1"/>
    <col min="3" max="3" width="10.5" customWidth="1"/>
    <col min="4" max="4" width="12.1640625" customWidth="1"/>
    <col min="5" max="5" width="43.1640625" customWidth="1"/>
    <col min="6" max="26" width="8.83203125" customWidth="1"/>
  </cols>
  <sheetData>
    <row r="1" spans="2:17" ht="16" thickBot="1" x14ac:dyDescent="0.25"/>
    <row r="2" spans="2:17" x14ac:dyDescent="0.2"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</row>
    <row r="3" spans="2:17" x14ac:dyDescent="0.2">
      <c r="B3" s="229" t="s">
        <v>368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</row>
    <row r="4" spans="2:17" x14ac:dyDescent="0.2"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</row>
    <row r="5" spans="2:17" ht="16" thickBot="1" x14ac:dyDescent="0.25">
      <c r="B5" s="232" t="s">
        <v>79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</row>
    <row r="7" spans="2:17" ht="16" thickBot="1" x14ac:dyDescent="0.25">
      <c r="B7" s="8" t="s">
        <v>4</v>
      </c>
      <c r="C7" s="9" t="s">
        <v>5</v>
      </c>
      <c r="D7" s="9" t="s">
        <v>6</v>
      </c>
      <c r="E7" s="10"/>
      <c r="F7" s="2">
        <v>45108</v>
      </c>
      <c r="G7" s="2">
        <v>45139</v>
      </c>
      <c r="H7" s="2">
        <v>45170</v>
      </c>
      <c r="I7" s="2">
        <v>45200</v>
      </c>
      <c r="J7" s="2">
        <v>45231</v>
      </c>
      <c r="K7" s="2">
        <v>45261</v>
      </c>
      <c r="L7" s="2">
        <v>45292</v>
      </c>
      <c r="M7" s="2">
        <v>45323</v>
      </c>
      <c r="N7" s="2">
        <v>45352</v>
      </c>
      <c r="O7" s="2">
        <v>45383</v>
      </c>
      <c r="P7" s="2">
        <v>45413</v>
      </c>
      <c r="Q7" s="2">
        <v>45444</v>
      </c>
    </row>
    <row r="8" spans="2:17" x14ac:dyDescent="0.2">
      <c r="B8" s="11" t="s">
        <v>7</v>
      </c>
      <c r="C8" s="235" t="s">
        <v>8</v>
      </c>
      <c r="D8" s="235" t="s">
        <v>8</v>
      </c>
      <c r="E8" s="13" t="s">
        <v>9</v>
      </c>
      <c r="F8" s="14">
        <v>0.05</v>
      </c>
      <c r="G8" s="14">
        <v>0.05</v>
      </c>
      <c r="H8" s="15">
        <v>0.05</v>
      </c>
      <c r="I8" s="14">
        <v>0.05</v>
      </c>
      <c r="J8" s="16">
        <v>0.05</v>
      </c>
      <c r="K8" s="17">
        <v>0.05</v>
      </c>
      <c r="L8" s="14">
        <v>0.05</v>
      </c>
      <c r="M8" s="16">
        <v>0.05</v>
      </c>
      <c r="N8" s="17">
        <v>0.05</v>
      </c>
      <c r="O8" s="14">
        <v>0.05</v>
      </c>
      <c r="P8" s="16">
        <v>0.05</v>
      </c>
      <c r="Q8" s="18">
        <v>0.05</v>
      </c>
    </row>
    <row r="9" spans="2:17" x14ac:dyDescent="0.2">
      <c r="B9" s="19" t="s">
        <v>10</v>
      </c>
      <c r="C9" s="224"/>
      <c r="D9" s="224"/>
      <c r="E9" s="20" t="s">
        <v>11</v>
      </c>
      <c r="F9" s="21"/>
      <c r="G9" s="21">
        <v>0.1</v>
      </c>
      <c r="H9" s="21">
        <v>0.1</v>
      </c>
      <c r="I9" s="21">
        <v>0.1</v>
      </c>
      <c r="J9" s="21">
        <v>0.1</v>
      </c>
      <c r="K9" s="21">
        <v>0.2</v>
      </c>
      <c r="L9" s="21">
        <v>0.2</v>
      </c>
      <c r="M9" s="21">
        <v>0.1</v>
      </c>
      <c r="N9" s="21">
        <v>0.1</v>
      </c>
      <c r="O9" s="21">
        <v>0.1</v>
      </c>
      <c r="P9" s="21">
        <v>0.1</v>
      </c>
      <c r="Q9" s="22">
        <v>0.1</v>
      </c>
    </row>
    <row r="10" spans="2:17" x14ac:dyDescent="0.2"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</row>
    <row r="11" spans="2:17" x14ac:dyDescent="0.2"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</row>
    <row r="12" spans="2:17" x14ac:dyDescent="0.2"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</row>
    <row r="13" spans="2:17" x14ac:dyDescent="0.2"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</row>
    <row r="14" spans="2:17" x14ac:dyDescent="0.2">
      <c r="B14" s="23"/>
      <c r="C14" s="224"/>
      <c r="D14" s="224"/>
      <c r="E14" s="20" t="s">
        <v>16</v>
      </c>
      <c r="F14" s="21"/>
      <c r="G14" s="21"/>
      <c r="H14" s="24"/>
      <c r="I14" s="14"/>
      <c r="J14" s="16"/>
      <c r="K14" s="15"/>
      <c r="L14" s="14"/>
      <c r="M14" s="16"/>
      <c r="N14" s="15"/>
      <c r="O14" s="14"/>
      <c r="P14" s="16"/>
      <c r="Q14" s="25"/>
    </row>
    <row r="15" spans="2:17" x14ac:dyDescent="0.2"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</row>
    <row r="16" spans="2:17" ht="16" thickBot="1" x14ac:dyDescent="0.25">
      <c r="B16" s="31" t="str">
        <f>B8</f>
        <v>Beau Leese</v>
      </c>
      <c r="C16" s="32"/>
      <c r="D16" s="32"/>
      <c r="E16" s="32" t="s">
        <v>18</v>
      </c>
      <c r="F16" s="33">
        <f t="shared" ref="F16:Q16" si="0">SUM(F8:F15)</f>
        <v>0.05</v>
      </c>
      <c r="G16" s="33">
        <f t="shared" si="0"/>
        <v>0.15000000000000002</v>
      </c>
      <c r="H16" s="33">
        <f t="shared" si="0"/>
        <v>0.15000000000000002</v>
      </c>
      <c r="I16" s="33">
        <f t="shared" si="0"/>
        <v>0.15000000000000002</v>
      </c>
      <c r="J16" s="33">
        <f t="shared" si="0"/>
        <v>0.15000000000000002</v>
      </c>
      <c r="K16" s="33">
        <f t="shared" si="0"/>
        <v>0.25</v>
      </c>
      <c r="L16" s="33">
        <f t="shared" si="0"/>
        <v>0.25</v>
      </c>
      <c r="M16" s="33">
        <f t="shared" si="0"/>
        <v>0.15000000000000002</v>
      </c>
      <c r="N16" s="33">
        <f t="shared" si="0"/>
        <v>0.15000000000000002</v>
      </c>
      <c r="O16" s="33">
        <f t="shared" si="0"/>
        <v>0.15000000000000002</v>
      </c>
      <c r="P16" s="33">
        <f t="shared" si="0"/>
        <v>0.15000000000000002</v>
      </c>
      <c r="Q16" s="33">
        <f t="shared" si="0"/>
        <v>0.15000000000000002</v>
      </c>
    </row>
    <row r="17" spans="2:17" x14ac:dyDescent="0.2">
      <c r="B17" s="35" t="s">
        <v>19</v>
      </c>
      <c r="C17" s="223" t="s">
        <v>8</v>
      </c>
      <c r="D17" s="223" t="s">
        <v>8</v>
      </c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</row>
    <row r="18" spans="2:17" x14ac:dyDescent="0.2">
      <c r="B18" s="19" t="s">
        <v>20</v>
      </c>
      <c r="C18" s="224"/>
      <c r="D18" s="224"/>
      <c r="E18" s="20" t="s">
        <v>11</v>
      </c>
      <c r="F18" s="21">
        <v>0.05</v>
      </c>
      <c r="G18" s="21">
        <v>0.05</v>
      </c>
      <c r="H18" s="21">
        <v>0.05</v>
      </c>
      <c r="I18" s="21">
        <v>0.05</v>
      </c>
      <c r="J18" s="21">
        <v>0.05</v>
      </c>
      <c r="K18" s="21">
        <v>0.05</v>
      </c>
      <c r="L18" s="21">
        <v>0.1</v>
      </c>
      <c r="M18" s="21">
        <v>0.1</v>
      </c>
      <c r="N18" s="21">
        <v>0.1</v>
      </c>
      <c r="O18" s="21">
        <v>0.1</v>
      </c>
      <c r="P18" s="21">
        <v>0.1</v>
      </c>
      <c r="Q18" s="22">
        <v>0.1</v>
      </c>
    </row>
    <row r="19" spans="2:17" x14ac:dyDescent="0.2"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</row>
    <row r="20" spans="2:17" x14ac:dyDescent="0.2"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</row>
    <row r="21" spans="2:17" ht="15.75" customHeight="1" x14ac:dyDescent="0.2"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</row>
    <row r="22" spans="2:17" ht="15.75" customHeight="1" x14ac:dyDescent="0.2"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</row>
    <row r="23" spans="2:17" ht="15.75" customHeight="1" x14ac:dyDescent="0.2">
      <c r="B23" s="23"/>
      <c r="C23" s="224"/>
      <c r="D23" s="224"/>
      <c r="E23" s="20" t="s">
        <v>16</v>
      </c>
      <c r="F23" s="21">
        <v>0.05</v>
      </c>
      <c r="G23" s="21">
        <v>0.1</v>
      </c>
      <c r="H23" s="21">
        <v>0.1</v>
      </c>
      <c r="I23" s="21">
        <v>0.1</v>
      </c>
      <c r="J23" s="21">
        <v>0.1</v>
      </c>
      <c r="K23" s="21">
        <v>0.1</v>
      </c>
      <c r="L23" s="21">
        <v>0.1</v>
      </c>
      <c r="M23" s="21">
        <v>0.1</v>
      </c>
      <c r="N23" s="21">
        <v>0.1</v>
      </c>
      <c r="O23" s="21">
        <v>0.1</v>
      </c>
      <c r="P23" s="21">
        <v>0.1</v>
      </c>
      <c r="Q23" s="22">
        <v>0.1</v>
      </c>
    </row>
    <row r="24" spans="2:17" ht="15.75" customHeight="1" x14ac:dyDescent="0.2"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</row>
    <row r="25" spans="2:17" ht="15.75" customHeight="1" thickBot="1" x14ac:dyDescent="0.25">
      <c r="B25" s="42" t="str">
        <f>B17</f>
        <v>Suzy Watson</v>
      </c>
      <c r="C25" s="43"/>
      <c r="D25" s="43"/>
      <c r="E25" s="44" t="s">
        <v>18</v>
      </c>
      <c r="F25" s="33">
        <f t="shared" ref="F25:Q25" si="1">SUM(F17:F24)</f>
        <v>0.1</v>
      </c>
      <c r="G25" s="33">
        <f t="shared" si="1"/>
        <v>0.15000000000000002</v>
      </c>
      <c r="H25" s="33">
        <f t="shared" si="1"/>
        <v>0.15000000000000002</v>
      </c>
      <c r="I25" s="33">
        <f t="shared" si="1"/>
        <v>0.15000000000000002</v>
      </c>
      <c r="J25" s="33">
        <f t="shared" si="1"/>
        <v>0.15000000000000002</v>
      </c>
      <c r="K25" s="33">
        <f t="shared" si="1"/>
        <v>0.15000000000000002</v>
      </c>
      <c r="L25" s="33">
        <f t="shared" si="1"/>
        <v>0.2</v>
      </c>
      <c r="M25" s="33">
        <f t="shared" si="1"/>
        <v>0.2</v>
      </c>
      <c r="N25" s="33">
        <f t="shared" si="1"/>
        <v>0.2</v>
      </c>
      <c r="O25" s="33">
        <f t="shared" si="1"/>
        <v>0.2</v>
      </c>
      <c r="P25" s="33">
        <f t="shared" si="1"/>
        <v>0.2</v>
      </c>
      <c r="Q25" s="33">
        <f t="shared" si="1"/>
        <v>0.2</v>
      </c>
    </row>
    <row r="26" spans="2:17" ht="15.75" customHeight="1" x14ac:dyDescent="0.2">
      <c r="B26" s="35" t="s">
        <v>23</v>
      </c>
      <c r="C26" s="223" t="s">
        <v>8</v>
      </c>
      <c r="D26" s="223" t="s">
        <v>8</v>
      </c>
      <c r="E26" s="36" t="s">
        <v>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48"/>
    </row>
    <row r="27" spans="2:17" ht="15.75" customHeight="1" x14ac:dyDescent="0.2">
      <c r="B27" s="19" t="s">
        <v>24</v>
      </c>
      <c r="C27" s="224"/>
      <c r="D27" s="224"/>
      <c r="E27" s="20" t="s">
        <v>11</v>
      </c>
      <c r="F27" s="21">
        <v>0.05</v>
      </c>
      <c r="G27" s="21">
        <v>0.05</v>
      </c>
      <c r="H27" s="21">
        <v>0.05</v>
      </c>
      <c r="I27" s="247"/>
      <c r="J27" s="247"/>
      <c r="K27" s="247"/>
      <c r="L27" s="247"/>
      <c r="M27" s="247"/>
      <c r="N27" s="247"/>
      <c r="O27" s="247"/>
      <c r="P27" s="247"/>
      <c r="Q27" s="248"/>
    </row>
    <row r="28" spans="2:17" ht="15.75" customHeight="1" x14ac:dyDescent="0.2">
      <c r="B28" s="23"/>
      <c r="C28" s="224"/>
      <c r="D28" s="224"/>
      <c r="E28" s="20" t="s">
        <v>12</v>
      </c>
      <c r="F28" s="21"/>
      <c r="G28" s="21"/>
      <c r="H28" s="24"/>
      <c r="I28" s="249"/>
      <c r="J28" s="250"/>
      <c r="K28" s="251"/>
      <c r="L28" s="249"/>
      <c r="M28" s="250"/>
      <c r="N28" s="251"/>
      <c r="O28" s="249"/>
      <c r="P28" s="250"/>
      <c r="Q28" s="252"/>
    </row>
    <row r="29" spans="2:17" ht="15.75" customHeight="1" x14ac:dyDescent="0.2">
      <c r="B29" s="23"/>
      <c r="C29" s="224"/>
      <c r="D29" s="224"/>
      <c r="E29" s="20" t="s">
        <v>13</v>
      </c>
      <c r="F29" s="21"/>
      <c r="G29" s="21"/>
      <c r="H29" s="24"/>
      <c r="I29" s="249"/>
      <c r="J29" s="250"/>
      <c r="K29" s="251"/>
      <c r="L29" s="249"/>
      <c r="M29" s="250"/>
      <c r="N29" s="251"/>
      <c r="O29" s="249"/>
      <c r="P29" s="250"/>
      <c r="Q29" s="252"/>
    </row>
    <row r="30" spans="2:17" ht="15.75" customHeight="1" x14ac:dyDescent="0.2">
      <c r="B30" s="23"/>
      <c r="C30" s="224"/>
      <c r="D30" s="224"/>
      <c r="E30" s="20" t="s">
        <v>14</v>
      </c>
      <c r="F30" s="21"/>
      <c r="G30" s="21"/>
      <c r="H30" s="24"/>
      <c r="I30" s="249"/>
      <c r="J30" s="250"/>
      <c r="K30" s="251"/>
      <c r="L30" s="249"/>
      <c r="M30" s="250"/>
      <c r="N30" s="251"/>
      <c r="O30" s="249"/>
      <c r="P30" s="250"/>
      <c r="Q30" s="252"/>
    </row>
    <row r="31" spans="2:17" ht="15.75" customHeight="1" x14ac:dyDescent="0.2">
      <c r="B31" s="23"/>
      <c r="C31" s="224"/>
      <c r="D31" s="224"/>
      <c r="E31" s="20" t="s">
        <v>15</v>
      </c>
      <c r="F31" s="21"/>
      <c r="G31" s="21"/>
      <c r="H31" s="24"/>
      <c r="I31" s="249"/>
      <c r="J31" s="250"/>
      <c r="K31" s="251"/>
      <c r="L31" s="249"/>
      <c r="M31" s="250"/>
      <c r="N31" s="251"/>
      <c r="O31" s="249"/>
      <c r="P31" s="250"/>
      <c r="Q31" s="252"/>
    </row>
    <row r="32" spans="2:17" ht="15.75" customHeight="1" x14ac:dyDescent="0.2">
      <c r="B32" s="23"/>
      <c r="C32" s="224"/>
      <c r="D32" s="224"/>
      <c r="E32" s="20" t="s">
        <v>16</v>
      </c>
      <c r="F32" s="21">
        <v>0.1</v>
      </c>
      <c r="G32" s="21">
        <v>0.1</v>
      </c>
      <c r="H32" s="24">
        <v>0.1</v>
      </c>
      <c r="I32" s="249"/>
      <c r="J32" s="250"/>
      <c r="K32" s="251"/>
      <c r="L32" s="249"/>
      <c r="M32" s="250"/>
      <c r="N32" s="251"/>
      <c r="O32" s="249"/>
      <c r="P32" s="250"/>
      <c r="Q32" s="252"/>
    </row>
    <row r="33" spans="2:17" ht="15.75" customHeight="1" x14ac:dyDescent="0.2"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</row>
    <row r="34" spans="2:17" ht="15.75" customHeight="1" thickBot="1" x14ac:dyDescent="0.25">
      <c r="B34" s="76"/>
      <c r="C34" s="45"/>
      <c r="D34" s="45"/>
      <c r="E34" s="45"/>
      <c r="F34" s="33">
        <f t="shared" ref="F34:Q34" si="2">SUM(F26:F33)</f>
        <v>0.15000000000000002</v>
      </c>
      <c r="G34" s="33">
        <f t="shared" si="2"/>
        <v>0.15000000000000002</v>
      </c>
      <c r="H34" s="33">
        <f t="shared" si="2"/>
        <v>0.15000000000000002</v>
      </c>
      <c r="I34" s="33">
        <f t="shared" si="2"/>
        <v>0</v>
      </c>
      <c r="J34" s="33">
        <f t="shared" si="2"/>
        <v>0</v>
      </c>
      <c r="K34" s="33">
        <f t="shared" si="2"/>
        <v>0</v>
      </c>
      <c r="L34" s="33">
        <f t="shared" si="2"/>
        <v>0</v>
      </c>
      <c r="M34" s="33">
        <f t="shared" si="2"/>
        <v>0</v>
      </c>
      <c r="N34" s="33">
        <f t="shared" si="2"/>
        <v>0</v>
      </c>
      <c r="O34" s="33">
        <f t="shared" si="2"/>
        <v>0</v>
      </c>
      <c r="P34" s="33">
        <f t="shared" si="2"/>
        <v>0</v>
      </c>
      <c r="Q34" s="33">
        <f t="shared" si="2"/>
        <v>0</v>
      </c>
    </row>
    <row r="35" spans="2:17" ht="15.75" customHeight="1" x14ac:dyDescent="0.2">
      <c r="B35" s="35" t="s">
        <v>80</v>
      </c>
      <c r="C35" s="223" t="s">
        <v>8</v>
      </c>
      <c r="D35" s="223" t="s">
        <v>8</v>
      </c>
      <c r="E35" s="36" t="s">
        <v>9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8"/>
    </row>
    <row r="36" spans="2:17" ht="15.75" customHeight="1" x14ac:dyDescent="0.2">
      <c r="B36" s="19" t="s">
        <v>369</v>
      </c>
      <c r="C36" s="224"/>
      <c r="D36" s="224"/>
      <c r="E36" s="20" t="s">
        <v>11</v>
      </c>
      <c r="F36" s="21">
        <v>0.15</v>
      </c>
      <c r="G36" s="21">
        <v>0.15</v>
      </c>
      <c r="H36" s="21">
        <v>0.15</v>
      </c>
      <c r="I36" s="21">
        <v>0.15</v>
      </c>
      <c r="J36" s="21">
        <v>0.15</v>
      </c>
      <c r="K36" s="21">
        <v>0.15</v>
      </c>
      <c r="L36" s="21">
        <v>0.15</v>
      </c>
      <c r="M36" s="21">
        <v>0.15</v>
      </c>
      <c r="N36" s="21">
        <v>0.15</v>
      </c>
      <c r="O36" s="21">
        <v>0.15</v>
      </c>
      <c r="P36" s="21">
        <v>0.15</v>
      </c>
      <c r="Q36" s="22">
        <v>0.15</v>
      </c>
    </row>
    <row r="37" spans="2:17" ht="15.75" customHeight="1" x14ac:dyDescent="0.2">
      <c r="B37" s="23"/>
      <c r="C37" s="224"/>
      <c r="D37" s="224"/>
      <c r="E37" s="20" t="s">
        <v>12</v>
      </c>
      <c r="F37" s="21">
        <v>0.15</v>
      </c>
      <c r="G37" s="21">
        <v>0.15</v>
      </c>
      <c r="H37" s="24">
        <v>0.15</v>
      </c>
      <c r="I37" s="14">
        <v>0.15</v>
      </c>
      <c r="J37" s="16">
        <v>0.15</v>
      </c>
      <c r="K37" s="15">
        <v>0.15</v>
      </c>
      <c r="L37" s="14">
        <v>0.15</v>
      </c>
      <c r="M37" s="16">
        <v>0.15</v>
      </c>
      <c r="N37" s="15">
        <v>0.15</v>
      </c>
      <c r="O37" s="14">
        <v>0.15</v>
      </c>
      <c r="P37" s="16">
        <v>0.15</v>
      </c>
      <c r="Q37" s="25">
        <v>0.15</v>
      </c>
    </row>
    <row r="38" spans="2:17" ht="15.75" customHeight="1" x14ac:dyDescent="0.2"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</row>
    <row r="39" spans="2:17" ht="15.75" customHeight="1" x14ac:dyDescent="0.2"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</row>
    <row r="40" spans="2:17" ht="15.75" customHeight="1" x14ac:dyDescent="0.2"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</row>
    <row r="41" spans="2:17" ht="15.75" customHeight="1" x14ac:dyDescent="0.2">
      <c r="B41" s="23"/>
      <c r="C41" s="224"/>
      <c r="D41" s="224"/>
      <c r="E41" s="20" t="s">
        <v>16</v>
      </c>
      <c r="F41" s="21">
        <v>0.15</v>
      </c>
      <c r="G41" s="21">
        <v>0.15</v>
      </c>
      <c r="H41" s="24">
        <v>0.2</v>
      </c>
      <c r="I41" s="14">
        <v>0.2</v>
      </c>
      <c r="J41" s="16">
        <v>0.25</v>
      </c>
      <c r="K41" s="15">
        <v>0.3</v>
      </c>
      <c r="L41" s="14">
        <v>0.35</v>
      </c>
      <c r="M41" s="16">
        <v>0.3</v>
      </c>
      <c r="N41" s="15">
        <v>0.35</v>
      </c>
      <c r="O41" s="14">
        <v>0.3</v>
      </c>
      <c r="P41" s="16">
        <v>0.35</v>
      </c>
      <c r="Q41" s="25">
        <v>0.4</v>
      </c>
    </row>
    <row r="42" spans="2:17" ht="15.75" customHeight="1" x14ac:dyDescent="0.2"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</row>
    <row r="43" spans="2:17" ht="15.75" customHeight="1" thickBot="1" x14ac:dyDescent="0.25">
      <c r="B43" s="76"/>
      <c r="C43" s="45"/>
      <c r="D43" s="45"/>
      <c r="E43" s="45"/>
      <c r="F43" s="33">
        <f t="shared" ref="F43:Q43" si="3">SUM(F35:F42)</f>
        <v>0.44999999999999996</v>
      </c>
      <c r="G43" s="33">
        <f t="shared" si="3"/>
        <v>0.44999999999999996</v>
      </c>
      <c r="H43" s="33">
        <f t="shared" si="3"/>
        <v>0.5</v>
      </c>
      <c r="I43" s="33">
        <f t="shared" si="3"/>
        <v>0.5</v>
      </c>
      <c r="J43" s="33">
        <f t="shared" si="3"/>
        <v>0.55000000000000004</v>
      </c>
      <c r="K43" s="33">
        <f t="shared" si="3"/>
        <v>0.6</v>
      </c>
      <c r="L43" s="33">
        <f t="shared" si="3"/>
        <v>0.64999999999999991</v>
      </c>
      <c r="M43" s="33">
        <f t="shared" si="3"/>
        <v>0.6</v>
      </c>
      <c r="N43" s="33">
        <f t="shared" si="3"/>
        <v>0.64999999999999991</v>
      </c>
      <c r="O43" s="33">
        <f t="shared" si="3"/>
        <v>0.6</v>
      </c>
      <c r="P43" s="33">
        <f t="shared" si="3"/>
        <v>0.64999999999999991</v>
      </c>
      <c r="Q43" s="33">
        <f t="shared" si="3"/>
        <v>0.7</v>
      </c>
    </row>
    <row r="44" spans="2:17" ht="15.75" customHeight="1" x14ac:dyDescent="0.2">
      <c r="B44" s="35" t="s">
        <v>54</v>
      </c>
      <c r="C44" s="223" t="s">
        <v>8</v>
      </c>
      <c r="D44" s="223" t="s">
        <v>38</v>
      </c>
      <c r="E44" s="260" t="s">
        <v>9</v>
      </c>
      <c r="F44" s="259">
        <v>0.15</v>
      </c>
      <c r="G44" s="259">
        <v>0.15</v>
      </c>
      <c r="H44" s="259">
        <v>0.15</v>
      </c>
      <c r="I44" s="259">
        <v>0.15</v>
      </c>
      <c r="J44" s="259">
        <v>0.15</v>
      </c>
      <c r="K44" s="259">
        <v>0.15</v>
      </c>
      <c r="L44" s="259">
        <v>0.15</v>
      </c>
      <c r="M44" s="259">
        <v>0.15</v>
      </c>
      <c r="N44" s="259">
        <v>0.15</v>
      </c>
      <c r="O44" s="259">
        <v>0.15</v>
      </c>
      <c r="P44" s="259">
        <v>0.15</v>
      </c>
      <c r="Q44" s="259">
        <v>0.15</v>
      </c>
    </row>
    <row r="45" spans="2:17" ht="15.75" customHeight="1" x14ac:dyDescent="0.2">
      <c r="B45" s="19" t="s">
        <v>55</v>
      </c>
      <c r="C45" s="224"/>
      <c r="D45" s="224"/>
      <c r="E45" s="255" t="s">
        <v>11</v>
      </c>
      <c r="F45" s="259">
        <v>0.25</v>
      </c>
      <c r="G45" s="259">
        <v>0.25</v>
      </c>
      <c r="H45" s="259">
        <v>0.25</v>
      </c>
      <c r="I45" s="259">
        <v>0.25</v>
      </c>
      <c r="J45" s="259">
        <v>0.25</v>
      </c>
      <c r="K45" s="259">
        <v>0.25</v>
      </c>
      <c r="L45" s="259">
        <v>0.25</v>
      </c>
      <c r="M45" s="259">
        <v>0.25</v>
      </c>
      <c r="N45" s="259">
        <v>0.25</v>
      </c>
      <c r="O45" s="259">
        <v>0.25</v>
      </c>
      <c r="P45" s="259">
        <v>0.25</v>
      </c>
      <c r="Q45" s="259">
        <v>0.25</v>
      </c>
    </row>
    <row r="46" spans="2:17" ht="15.75" customHeight="1" x14ac:dyDescent="0.2">
      <c r="B46" s="23"/>
      <c r="C46" s="224"/>
      <c r="D46" s="224"/>
      <c r="E46" s="255" t="s">
        <v>12</v>
      </c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</row>
    <row r="47" spans="2:17" ht="15.75" customHeight="1" x14ac:dyDescent="0.2">
      <c r="B47" s="23"/>
      <c r="C47" s="224"/>
      <c r="D47" s="224"/>
      <c r="E47" s="255" t="s">
        <v>13</v>
      </c>
      <c r="F47" s="259">
        <v>0.15</v>
      </c>
      <c r="G47" s="259">
        <v>0.15</v>
      </c>
      <c r="H47" s="259">
        <v>0.15</v>
      </c>
      <c r="I47" s="259">
        <v>0.15</v>
      </c>
      <c r="J47" s="259">
        <v>0.15</v>
      </c>
      <c r="K47" s="259">
        <v>0.15</v>
      </c>
      <c r="L47" s="259">
        <v>0.15</v>
      </c>
      <c r="M47" s="259">
        <v>0.15</v>
      </c>
      <c r="N47" s="259">
        <v>0.15</v>
      </c>
      <c r="O47" s="259">
        <v>0.15</v>
      </c>
      <c r="P47" s="259">
        <v>0.15</v>
      </c>
      <c r="Q47" s="259">
        <v>0.15</v>
      </c>
    </row>
    <row r="48" spans="2:17" ht="15.75" customHeight="1" x14ac:dyDescent="0.2">
      <c r="B48" s="23"/>
      <c r="C48" s="224"/>
      <c r="D48" s="224"/>
      <c r="E48" s="20" t="s">
        <v>14</v>
      </c>
      <c r="F48" s="258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</row>
    <row r="49" spans="2:17" ht="15.75" customHeight="1" x14ac:dyDescent="0.2"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</row>
    <row r="50" spans="2:17" ht="15.75" customHeight="1" x14ac:dyDescent="0.2"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</row>
    <row r="51" spans="2:17" ht="15.75" customHeight="1" x14ac:dyDescent="0.2">
      <c r="B51" s="27"/>
      <c r="C51" s="225"/>
      <c r="D51" s="225"/>
      <c r="E51" s="28" t="s">
        <v>17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</row>
    <row r="52" spans="2:17" ht="15.75" customHeight="1" thickBot="1" x14ac:dyDescent="0.25">
      <c r="B52" s="76"/>
      <c r="C52" s="45"/>
      <c r="D52" s="45"/>
      <c r="E52" s="45"/>
      <c r="F52" s="33">
        <f t="shared" ref="F52:Q52" si="4">SUM(F44:F51)</f>
        <v>0.55000000000000004</v>
      </c>
      <c r="G52" s="33">
        <f t="shared" si="4"/>
        <v>0.55000000000000004</v>
      </c>
      <c r="H52" s="33">
        <f t="shared" si="4"/>
        <v>0.55000000000000004</v>
      </c>
      <c r="I52" s="33">
        <f t="shared" si="4"/>
        <v>0.55000000000000004</v>
      </c>
      <c r="J52" s="33">
        <f t="shared" si="4"/>
        <v>0.55000000000000004</v>
      </c>
      <c r="K52" s="33">
        <f t="shared" si="4"/>
        <v>0.55000000000000004</v>
      </c>
      <c r="L52" s="33">
        <f t="shared" si="4"/>
        <v>0.55000000000000004</v>
      </c>
      <c r="M52" s="33">
        <f t="shared" si="4"/>
        <v>0.55000000000000004</v>
      </c>
      <c r="N52" s="33">
        <f t="shared" si="4"/>
        <v>0.55000000000000004</v>
      </c>
      <c r="O52" s="33">
        <f t="shared" si="4"/>
        <v>0.55000000000000004</v>
      </c>
      <c r="P52" s="33">
        <f t="shared" si="4"/>
        <v>0.55000000000000004</v>
      </c>
      <c r="Q52" s="33">
        <f t="shared" si="4"/>
        <v>0.55000000000000004</v>
      </c>
    </row>
    <row r="53" spans="2:17" ht="15.75" customHeight="1" x14ac:dyDescent="0.2">
      <c r="B53" s="35" t="s">
        <v>82</v>
      </c>
      <c r="C53" s="223" t="s">
        <v>38</v>
      </c>
      <c r="D53" s="223" t="s">
        <v>38</v>
      </c>
      <c r="E53" s="36" t="s">
        <v>9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48"/>
    </row>
    <row r="54" spans="2:17" ht="15.75" customHeight="1" x14ac:dyDescent="0.2">
      <c r="B54" s="19"/>
      <c r="C54" s="224"/>
      <c r="D54" s="224"/>
      <c r="E54" s="20" t="s">
        <v>11</v>
      </c>
      <c r="F54" s="21">
        <v>0.2</v>
      </c>
      <c r="G54" s="21">
        <v>0.25</v>
      </c>
      <c r="H54" s="21">
        <v>0.2</v>
      </c>
      <c r="I54" s="21">
        <v>0.25</v>
      </c>
      <c r="J54" s="21">
        <v>0.3</v>
      </c>
      <c r="K54" s="21">
        <v>0.3</v>
      </c>
      <c r="L54" s="21">
        <v>0.35</v>
      </c>
      <c r="M54" s="21">
        <v>0.4</v>
      </c>
      <c r="N54" s="21">
        <v>0.35</v>
      </c>
      <c r="O54" s="21">
        <v>0.3</v>
      </c>
      <c r="P54" s="21">
        <v>0.35</v>
      </c>
      <c r="Q54" s="22">
        <v>0.35</v>
      </c>
    </row>
    <row r="55" spans="2:17" ht="15.75" customHeight="1" x14ac:dyDescent="0.2">
      <c r="B55" s="23"/>
      <c r="C55" s="224"/>
      <c r="D55" s="224"/>
      <c r="E55" s="20" t="s">
        <v>12</v>
      </c>
      <c r="F55" s="21"/>
      <c r="G55" s="21"/>
      <c r="H55" s="24"/>
      <c r="I55" s="14"/>
      <c r="J55" s="16"/>
      <c r="K55" s="15"/>
      <c r="L55" s="14"/>
      <c r="M55" s="16"/>
      <c r="N55" s="15"/>
      <c r="O55" s="14"/>
      <c r="P55" s="16"/>
      <c r="Q55" s="25"/>
    </row>
    <row r="56" spans="2:17" ht="15.75" customHeight="1" x14ac:dyDescent="0.2"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</row>
    <row r="57" spans="2:17" ht="15.75" customHeight="1" x14ac:dyDescent="0.2"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</row>
    <row r="58" spans="2:17" ht="15.75" customHeight="1" x14ac:dyDescent="0.2"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</row>
    <row r="59" spans="2:17" ht="15.75" customHeight="1" x14ac:dyDescent="0.2"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</row>
    <row r="60" spans="2:17" ht="15.75" customHeight="1" x14ac:dyDescent="0.2">
      <c r="B60" s="27"/>
      <c r="C60" s="225"/>
      <c r="D60" s="225"/>
      <c r="E60" s="28" t="s">
        <v>17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0"/>
    </row>
    <row r="61" spans="2:17" ht="15.75" customHeight="1" thickBot="1" x14ac:dyDescent="0.25">
      <c r="B61" s="76"/>
      <c r="C61" s="45"/>
      <c r="D61" s="45"/>
      <c r="E61" s="45"/>
      <c r="F61" s="33">
        <f t="shared" ref="F61:Q61" si="5">SUM(F53:F60)</f>
        <v>0.2</v>
      </c>
      <c r="G61" s="33">
        <f t="shared" si="5"/>
        <v>0.25</v>
      </c>
      <c r="H61" s="33">
        <f t="shared" si="5"/>
        <v>0.2</v>
      </c>
      <c r="I61" s="33">
        <f t="shared" si="5"/>
        <v>0.25</v>
      </c>
      <c r="J61" s="33">
        <f t="shared" si="5"/>
        <v>0.3</v>
      </c>
      <c r="K61" s="33">
        <f t="shared" si="5"/>
        <v>0.3</v>
      </c>
      <c r="L61" s="33">
        <f t="shared" si="5"/>
        <v>0.35</v>
      </c>
      <c r="M61" s="33">
        <f t="shared" si="5"/>
        <v>0.4</v>
      </c>
      <c r="N61" s="33">
        <f t="shared" si="5"/>
        <v>0.35</v>
      </c>
      <c r="O61" s="33">
        <f t="shared" si="5"/>
        <v>0.3</v>
      </c>
      <c r="P61" s="33">
        <f t="shared" si="5"/>
        <v>0.35</v>
      </c>
      <c r="Q61" s="33">
        <f t="shared" si="5"/>
        <v>0.35</v>
      </c>
    </row>
    <row r="62" spans="2:17" ht="15.75" customHeight="1" x14ac:dyDescent="0.2">
      <c r="B62" s="35" t="s">
        <v>83</v>
      </c>
      <c r="C62" s="223" t="s">
        <v>8</v>
      </c>
      <c r="D62" s="223" t="s">
        <v>42</v>
      </c>
      <c r="E62" s="36" t="s">
        <v>9</v>
      </c>
      <c r="F62" s="25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48"/>
    </row>
    <row r="63" spans="2:17" ht="15.75" customHeight="1" x14ac:dyDescent="0.2">
      <c r="B63" s="19"/>
      <c r="C63" s="224"/>
      <c r="D63" s="224"/>
      <c r="E63" s="255" t="s">
        <v>11</v>
      </c>
      <c r="F63" s="259">
        <v>0.05</v>
      </c>
      <c r="G63" s="256">
        <v>0.05</v>
      </c>
      <c r="H63" s="21">
        <v>0.05</v>
      </c>
      <c r="I63" s="21">
        <v>0.05</v>
      </c>
      <c r="J63" s="21">
        <v>0.05</v>
      </c>
      <c r="K63" s="21">
        <v>0.05</v>
      </c>
      <c r="L63" s="21">
        <v>0.05</v>
      </c>
      <c r="M63" s="21">
        <v>0.05</v>
      </c>
      <c r="N63" s="21">
        <v>0.05</v>
      </c>
      <c r="O63" s="21">
        <v>0.05</v>
      </c>
      <c r="P63" s="21">
        <v>0.05</v>
      </c>
      <c r="Q63" s="22">
        <v>0.05</v>
      </c>
    </row>
    <row r="64" spans="2:17" ht="15.75" customHeight="1" x14ac:dyDescent="0.2">
      <c r="B64" s="23"/>
      <c r="C64" s="224"/>
      <c r="D64" s="224"/>
      <c r="E64" s="255" t="s">
        <v>12</v>
      </c>
      <c r="F64" s="259"/>
      <c r="G64" s="256"/>
      <c r="H64" s="24"/>
      <c r="I64" s="14"/>
      <c r="J64" s="16"/>
      <c r="K64" s="15"/>
      <c r="L64" s="14"/>
      <c r="M64" s="16"/>
      <c r="N64" s="15"/>
      <c r="O64" s="14"/>
      <c r="P64" s="16"/>
      <c r="Q64" s="25"/>
    </row>
    <row r="65" spans="2:17" ht="15.75" customHeight="1" x14ac:dyDescent="0.2">
      <c r="B65" s="23"/>
      <c r="C65" s="224"/>
      <c r="D65" s="224"/>
      <c r="E65" s="255" t="s">
        <v>13</v>
      </c>
      <c r="F65" s="259">
        <v>0.1</v>
      </c>
      <c r="G65" s="256">
        <v>0.15</v>
      </c>
      <c r="H65" s="24">
        <v>0.15</v>
      </c>
      <c r="I65" s="14">
        <v>0.15</v>
      </c>
      <c r="J65" s="16">
        <v>0.15</v>
      </c>
      <c r="K65" s="15">
        <v>0.2</v>
      </c>
      <c r="L65" s="14">
        <v>0.25</v>
      </c>
      <c r="M65" s="16">
        <v>0.15</v>
      </c>
      <c r="N65" s="15">
        <v>0.1</v>
      </c>
      <c r="O65" s="14">
        <v>0.15</v>
      </c>
      <c r="P65" s="16">
        <v>0.25</v>
      </c>
      <c r="Q65" s="25">
        <v>0.2</v>
      </c>
    </row>
    <row r="66" spans="2:17" ht="15.75" customHeight="1" x14ac:dyDescent="0.2">
      <c r="B66" s="23"/>
      <c r="C66" s="224"/>
      <c r="D66" s="224"/>
      <c r="E66" s="255" t="s">
        <v>14</v>
      </c>
      <c r="F66" s="259">
        <v>0.05</v>
      </c>
      <c r="G66" s="256">
        <v>0.05</v>
      </c>
      <c r="H66" s="24">
        <v>0.05</v>
      </c>
      <c r="I66" s="14">
        <v>0.05</v>
      </c>
      <c r="J66" s="16">
        <v>0.05</v>
      </c>
      <c r="K66" s="15">
        <v>0.05</v>
      </c>
      <c r="L66" s="14">
        <v>0.05</v>
      </c>
      <c r="M66" s="16">
        <v>0.05</v>
      </c>
      <c r="N66" s="15">
        <v>0.05</v>
      </c>
      <c r="O66" s="14">
        <v>0.05</v>
      </c>
      <c r="P66" s="16">
        <v>0.05</v>
      </c>
      <c r="Q66" s="25">
        <v>0.05</v>
      </c>
    </row>
    <row r="67" spans="2:17" ht="15.75" customHeight="1" x14ac:dyDescent="0.2">
      <c r="B67" s="23"/>
      <c r="C67" s="224"/>
      <c r="D67" s="224"/>
      <c r="E67" s="255" t="s">
        <v>15</v>
      </c>
      <c r="F67" s="259">
        <v>0.1</v>
      </c>
      <c r="G67" s="256">
        <v>0.1</v>
      </c>
      <c r="H67" s="24">
        <v>0.1</v>
      </c>
      <c r="I67" s="14">
        <v>0.1</v>
      </c>
      <c r="J67" s="16">
        <v>0.1</v>
      </c>
      <c r="K67" s="15">
        <v>0.1</v>
      </c>
      <c r="L67" s="14">
        <v>0.1</v>
      </c>
      <c r="M67" s="16">
        <v>0.1</v>
      </c>
      <c r="N67" s="15">
        <v>0.1</v>
      </c>
      <c r="O67" s="14">
        <v>0.1</v>
      </c>
      <c r="P67" s="16">
        <v>0.1</v>
      </c>
      <c r="Q67" s="25">
        <v>0.1</v>
      </c>
    </row>
    <row r="68" spans="2:17" ht="15.75" customHeight="1" x14ac:dyDescent="0.2">
      <c r="B68" s="23"/>
      <c r="C68" s="224"/>
      <c r="D68" s="224"/>
      <c r="E68" s="20" t="s">
        <v>16</v>
      </c>
      <c r="F68" s="258"/>
      <c r="G68" s="21"/>
      <c r="H68" s="24"/>
      <c r="I68" s="14"/>
      <c r="J68" s="16"/>
      <c r="K68" s="15"/>
      <c r="L68" s="14"/>
      <c r="M68" s="16"/>
      <c r="N68" s="15"/>
      <c r="O68" s="14"/>
      <c r="P68" s="16"/>
      <c r="Q68" s="25"/>
    </row>
    <row r="69" spans="2:17" ht="15.75" customHeight="1" x14ac:dyDescent="0.2">
      <c r="B69" s="27"/>
      <c r="C69" s="225"/>
      <c r="D69" s="225"/>
      <c r="E69" s="28" t="s">
        <v>17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0"/>
    </row>
    <row r="70" spans="2:17" ht="15.75" customHeight="1" thickBot="1" x14ac:dyDescent="0.25">
      <c r="B70" s="76"/>
      <c r="C70" s="45"/>
      <c r="D70" s="45"/>
      <c r="E70" s="45"/>
      <c r="F70" s="33">
        <f t="shared" ref="F70:Q70" si="6">SUM(F62:F69)</f>
        <v>0.30000000000000004</v>
      </c>
      <c r="G70" s="33">
        <f t="shared" si="6"/>
        <v>0.35</v>
      </c>
      <c r="H70" s="33">
        <f t="shared" si="6"/>
        <v>0.35</v>
      </c>
      <c r="I70" s="33">
        <f t="shared" si="6"/>
        <v>0.35</v>
      </c>
      <c r="J70" s="33">
        <f t="shared" si="6"/>
        <v>0.35</v>
      </c>
      <c r="K70" s="33">
        <f t="shared" si="6"/>
        <v>0.4</v>
      </c>
      <c r="L70" s="33">
        <f t="shared" si="6"/>
        <v>0.44999999999999996</v>
      </c>
      <c r="M70" s="33">
        <f t="shared" si="6"/>
        <v>0.35</v>
      </c>
      <c r="N70" s="33">
        <f t="shared" si="6"/>
        <v>0.30000000000000004</v>
      </c>
      <c r="O70" s="33">
        <f t="shared" si="6"/>
        <v>0.35</v>
      </c>
      <c r="P70" s="33">
        <f t="shared" si="6"/>
        <v>0.44999999999999996</v>
      </c>
      <c r="Q70" s="33">
        <f t="shared" si="6"/>
        <v>0.4</v>
      </c>
    </row>
    <row r="71" spans="2:17" ht="15.75" customHeight="1" x14ac:dyDescent="0.2">
      <c r="B71" s="35" t="s">
        <v>46</v>
      </c>
      <c r="C71" s="223" t="s">
        <v>8</v>
      </c>
      <c r="D71" s="223" t="s">
        <v>8</v>
      </c>
      <c r="E71" s="36" t="s">
        <v>9</v>
      </c>
      <c r="F71" s="37">
        <v>0.1</v>
      </c>
      <c r="G71" s="37">
        <v>0.1</v>
      </c>
      <c r="H71" s="48">
        <v>0.1</v>
      </c>
      <c r="I71" s="48">
        <v>0.1</v>
      </c>
      <c r="J71" s="48">
        <v>0.1</v>
      </c>
      <c r="K71" s="48">
        <v>0.1</v>
      </c>
      <c r="L71" s="48">
        <v>0.1</v>
      </c>
      <c r="M71" s="37">
        <v>0.1</v>
      </c>
      <c r="N71" s="37">
        <v>0.1</v>
      </c>
      <c r="O71" s="37">
        <v>0.1</v>
      </c>
      <c r="P71" s="37">
        <v>0.1</v>
      </c>
      <c r="Q71" s="48">
        <v>0.1</v>
      </c>
    </row>
    <row r="72" spans="2:17" ht="15.75" customHeight="1" x14ac:dyDescent="0.2">
      <c r="B72" s="19"/>
      <c r="C72" s="224"/>
      <c r="D72" s="224"/>
      <c r="E72" s="20" t="s">
        <v>11</v>
      </c>
      <c r="F72" s="21"/>
      <c r="G72" s="21">
        <v>0.05</v>
      </c>
      <c r="H72" s="21">
        <v>0.05</v>
      </c>
      <c r="I72" s="21">
        <v>0.05</v>
      </c>
      <c r="J72" s="21">
        <v>0.05</v>
      </c>
      <c r="K72" s="21">
        <v>0.05</v>
      </c>
      <c r="L72" s="21">
        <v>0.05</v>
      </c>
      <c r="M72" s="21">
        <v>0.05</v>
      </c>
      <c r="N72" s="21">
        <v>0.05</v>
      </c>
      <c r="O72" s="21">
        <v>0.05</v>
      </c>
      <c r="P72" s="21">
        <v>0.05</v>
      </c>
      <c r="Q72" s="22">
        <v>0.05</v>
      </c>
    </row>
    <row r="73" spans="2:17" ht="15.75" customHeight="1" x14ac:dyDescent="0.2">
      <c r="B73" s="23"/>
      <c r="C73" s="224"/>
      <c r="D73" s="224"/>
      <c r="E73" s="20" t="s">
        <v>12</v>
      </c>
      <c r="F73" s="21">
        <v>0.1</v>
      </c>
      <c r="G73" s="21">
        <v>0.1</v>
      </c>
      <c r="H73" s="21">
        <v>0.15</v>
      </c>
      <c r="I73" s="21">
        <v>0.15</v>
      </c>
      <c r="J73" s="21">
        <v>0.15</v>
      </c>
      <c r="K73" s="21">
        <v>0.15</v>
      </c>
      <c r="L73" s="21">
        <v>0.15</v>
      </c>
      <c r="M73" s="21">
        <v>0.15</v>
      </c>
      <c r="N73" s="21">
        <v>0.15</v>
      </c>
      <c r="O73" s="14">
        <v>0.15</v>
      </c>
      <c r="P73" s="16">
        <v>0.15</v>
      </c>
      <c r="Q73" s="25">
        <v>0.15</v>
      </c>
    </row>
    <row r="74" spans="2:17" ht="15.75" customHeight="1" x14ac:dyDescent="0.2">
      <c r="B74" s="23"/>
      <c r="C74" s="224"/>
      <c r="D74" s="224"/>
      <c r="E74" s="20" t="s">
        <v>13</v>
      </c>
      <c r="F74" s="21"/>
      <c r="G74" s="21"/>
      <c r="H74" s="24"/>
      <c r="I74" s="14"/>
      <c r="J74" s="16"/>
      <c r="K74" s="15"/>
      <c r="L74" s="14"/>
      <c r="M74" s="16"/>
      <c r="N74" s="15"/>
      <c r="O74" s="14"/>
      <c r="P74" s="16"/>
      <c r="Q74" s="25"/>
    </row>
    <row r="75" spans="2:17" ht="15.75" customHeight="1" x14ac:dyDescent="0.2">
      <c r="B75" s="23"/>
      <c r="C75" s="224"/>
      <c r="D75" s="224"/>
      <c r="E75" s="20" t="s">
        <v>14</v>
      </c>
      <c r="F75" s="21"/>
      <c r="G75" s="21"/>
      <c r="H75" s="24"/>
      <c r="I75" s="14"/>
      <c r="J75" s="16"/>
      <c r="K75" s="15"/>
      <c r="L75" s="14"/>
      <c r="M75" s="16"/>
      <c r="N75" s="15"/>
      <c r="O75" s="14"/>
      <c r="P75" s="16"/>
      <c r="Q75" s="25"/>
    </row>
    <row r="76" spans="2:17" ht="15.75" customHeight="1" x14ac:dyDescent="0.2">
      <c r="B76" s="23"/>
      <c r="C76" s="224"/>
      <c r="D76" s="224"/>
      <c r="E76" s="20" t="s">
        <v>15</v>
      </c>
      <c r="F76" s="21"/>
      <c r="G76" s="21"/>
      <c r="H76" s="24"/>
      <c r="I76" s="14"/>
      <c r="J76" s="16"/>
      <c r="K76" s="15"/>
      <c r="L76" s="14"/>
      <c r="M76" s="16"/>
      <c r="N76" s="15"/>
      <c r="O76" s="14"/>
      <c r="P76" s="16"/>
      <c r="Q76" s="25"/>
    </row>
    <row r="77" spans="2:17" ht="15.75" customHeight="1" x14ac:dyDescent="0.2">
      <c r="B77" s="23"/>
      <c r="C77" s="224"/>
      <c r="D77" s="224"/>
      <c r="E77" s="20" t="s">
        <v>16</v>
      </c>
      <c r="F77" s="21"/>
      <c r="G77" s="21"/>
      <c r="H77" s="24"/>
      <c r="I77" s="14"/>
      <c r="J77" s="16"/>
      <c r="K77" s="15"/>
      <c r="L77" s="14"/>
      <c r="M77" s="16"/>
      <c r="N77" s="15"/>
      <c r="O77" s="14"/>
      <c r="P77" s="16"/>
      <c r="Q77" s="25"/>
    </row>
    <row r="78" spans="2:17" ht="15.75" customHeight="1" x14ac:dyDescent="0.2">
      <c r="B78" s="27"/>
      <c r="C78" s="225"/>
      <c r="D78" s="225"/>
      <c r="E78" s="28" t="s">
        <v>17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0"/>
    </row>
    <row r="79" spans="2:17" ht="15.75" customHeight="1" thickBot="1" x14ac:dyDescent="0.25">
      <c r="B79" s="76"/>
      <c r="C79" s="45"/>
      <c r="D79" s="45"/>
      <c r="E79" s="45"/>
      <c r="F79" s="33">
        <f t="shared" ref="F79:Q79" si="7">SUM(F71:F78)</f>
        <v>0.2</v>
      </c>
      <c r="G79" s="33">
        <f t="shared" si="7"/>
        <v>0.25</v>
      </c>
      <c r="H79" s="33">
        <f t="shared" si="7"/>
        <v>0.30000000000000004</v>
      </c>
      <c r="I79" s="33">
        <f t="shared" si="7"/>
        <v>0.30000000000000004</v>
      </c>
      <c r="J79" s="33">
        <f t="shared" si="7"/>
        <v>0.30000000000000004</v>
      </c>
      <c r="K79" s="33">
        <f t="shared" si="7"/>
        <v>0.30000000000000004</v>
      </c>
      <c r="L79" s="33">
        <f t="shared" si="7"/>
        <v>0.30000000000000004</v>
      </c>
      <c r="M79" s="33">
        <f t="shared" si="7"/>
        <v>0.30000000000000004</v>
      </c>
      <c r="N79" s="33">
        <f t="shared" si="7"/>
        <v>0.30000000000000004</v>
      </c>
      <c r="O79" s="33">
        <f t="shared" si="7"/>
        <v>0.30000000000000004</v>
      </c>
      <c r="P79" s="33">
        <f t="shared" si="7"/>
        <v>0.30000000000000004</v>
      </c>
      <c r="Q79" s="33">
        <f t="shared" si="7"/>
        <v>0.30000000000000004</v>
      </c>
    </row>
    <row r="80" spans="2:17" ht="15.75" customHeight="1" x14ac:dyDescent="0.2">
      <c r="B80" s="35" t="s">
        <v>370</v>
      </c>
      <c r="C80" s="223" t="s">
        <v>8</v>
      </c>
      <c r="D80" s="223" t="s">
        <v>8</v>
      </c>
      <c r="E80" s="36" t="s">
        <v>9</v>
      </c>
      <c r="F80" s="37">
        <v>0.05</v>
      </c>
      <c r="G80" s="37"/>
      <c r="H80" s="37"/>
      <c r="I80" s="37"/>
      <c r="J80" s="37">
        <v>0.05</v>
      </c>
      <c r="K80" s="37">
        <v>0.05</v>
      </c>
      <c r="L80" s="37">
        <v>0.05</v>
      </c>
      <c r="M80" s="37">
        <v>0.05</v>
      </c>
      <c r="N80" s="37">
        <v>0.05</v>
      </c>
      <c r="O80" s="37">
        <v>0.05</v>
      </c>
      <c r="P80" s="37">
        <v>0.05</v>
      </c>
      <c r="Q80" s="48">
        <v>0.05</v>
      </c>
    </row>
    <row r="81" spans="2:17" ht="15.75" customHeight="1" x14ac:dyDescent="0.2">
      <c r="B81" s="19"/>
      <c r="C81" s="224"/>
      <c r="D81" s="224"/>
      <c r="E81" s="20" t="s">
        <v>11</v>
      </c>
      <c r="F81" s="21">
        <v>0.05</v>
      </c>
      <c r="G81" s="21">
        <v>0.1</v>
      </c>
      <c r="H81" s="21">
        <v>0.1</v>
      </c>
      <c r="I81" s="21">
        <v>0.1</v>
      </c>
      <c r="J81" s="21">
        <v>0.1</v>
      </c>
      <c r="K81" s="21">
        <v>0.1</v>
      </c>
      <c r="L81" s="21">
        <v>0.1</v>
      </c>
      <c r="M81" s="21">
        <v>0.1</v>
      </c>
      <c r="N81" s="21">
        <v>0.1</v>
      </c>
      <c r="O81" s="21">
        <v>0.1</v>
      </c>
      <c r="P81" s="21">
        <v>0.1</v>
      </c>
      <c r="Q81" s="21">
        <v>0.1</v>
      </c>
    </row>
    <row r="82" spans="2:17" ht="15.75" customHeight="1" x14ac:dyDescent="0.2">
      <c r="B82" s="23"/>
      <c r="C82" s="224"/>
      <c r="D82" s="224"/>
      <c r="E82" s="20" t="s">
        <v>12</v>
      </c>
      <c r="F82" s="21">
        <v>0.05</v>
      </c>
      <c r="G82" s="21">
        <v>0.1</v>
      </c>
      <c r="H82" s="21">
        <v>0.1</v>
      </c>
      <c r="I82" s="21">
        <v>0.1</v>
      </c>
      <c r="J82" s="21">
        <v>0.1</v>
      </c>
      <c r="K82" s="21">
        <v>0.1</v>
      </c>
      <c r="L82" s="21">
        <v>0.1</v>
      </c>
      <c r="M82" s="21">
        <v>0.1</v>
      </c>
      <c r="N82" s="21">
        <v>0.1</v>
      </c>
      <c r="O82" s="14">
        <v>0.05</v>
      </c>
      <c r="P82" s="16">
        <v>0.05</v>
      </c>
      <c r="Q82" s="25">
        <v>0.05</v>
      </c>
    </row>
    <row r="83" spans="2:17" ht="15.75" customHeight="1" x14ac:dyDescent="0.2">
      <c r="B83" s="23"/>
      <c r="C83" s="224"/>
      <c r="D83" s="224"/>
      <c r="E83" s="20" t="s">
        <v>13</v>
      </c>
      <c r="F83" s="21"/>
      <c r="G83" s="21"/>
      <c r="H83" s="24"/>
      <c r="I83" s="14"/>
      <c r="J83" s="16"/>
      <c r="K83" s="15"/>
      <c r="L83" s="14"/>
      <c r="M83" s="16"/>
      <c r="N83" s="15"/>
      <c r="O83" s="14"/>
      <c r="P83" s="16"/>
      <c r="Q83" s="25"/>
    </row>
    <row r="84" spans="2:17" ht="15.75" customHeight="1" x14ac:dyDescent="0.2">
      <c r="B84" s="23"/>
      <c r="C84" s="224"/>
      <c r="D84" s="224"/>
      <c r="E84" s="20" t="s">
        <v>14</v>
      </c>
      <c r="F84" s="21">
        <v>0.1</v>
      </c>
      <c r="G84" s="21">
        <v>0.15</v>
      </c>
      <c r="H84" s="24">
        <v>0.2</v>
      </c>
      <c r="I84" s="14">
        <v>0.25</v>
      </c>
      <c r="J84" s="16">
        <v>0.25</v>
      </c>
      <c r="K84" s="15">
        <v>0.3</v>
      </c>
      <c r="L84" s="14">
        <v>0.3</v>
      </c>
      <c r="M84" s="16">
        <v>0.3</v>
      </c>
      <c r="N84" s="15">
        <v>0.3</v>
      </c>
      <c r="O84" s="14">
        <v>0.3</v>
      </c>
      <c r="P84" s="16">
        <v>0.3</v>
      </c>
      <c r="Q84" s="25">
        <v>0.3</v>
      </c>
    </row>
    <row r="85" spans="2:17" ht="15.75" customHeight="1" x14ac:dyDescent="0.2">
      <c r="B85" s="23"/>
      <c r="C85" s="224"/>
      <c r="D85" s="224"/>
      <c r="E85" s="20" t="s">
        <v>15</v>
      </c>
      <c r="F85" s="21"/>
      <c r="G85" s="21"/>
      <c r="H85" s="24"/>
      <c r="I85" s="14"/>
      <c r="J85" s="16"/>
      <c r="K85" s="15"/>
      <c r="L85" s="14"/>
      <c r="M85" s="16"/>
      <c r="N85" s="15"/>
      <c r="O85" s="14"/>
      <c r="P85" s="16"/>
      <c r="Q85" s="25"/>
    </row>
    <row r="86" spans="2:17" ht="15.75" customHeight="1" x14ac:dyDescent="0.2">
      <c r="B86" s="23"/>
      <c r="C86" s="224"/>
      <c r="D86" s="224"/>
      <c r="E86" s="20" t="s">
        <v>16</v>
      </c>
      <c r="F86" s="21"/>
      <c r="G86" s="21"/>
      <c r="H86" s="24"/>
      <c r="I86" s="14"/>
      <c r="J86" s="16"/>
      <c r="K86" s="15"/>
      <c r="L86" s="14"/>
      <c r="M86" s="16"/>
      <c r="N86" s="15"/>
      <c r="O86" s="14"/>
      <c r="P86" s="16"/>
      <c r="Q86" s="25"/>
    </row>
    <row r="87" spans="2:17" ht="15.75" customHeight="1" x14ac:dyDescent="0.2">
      <c r="B87" s="27"/>
      <c r="C87" s="225"/>
      <c r="D87" s="225"/>
      <c r="E87" s="28" t="s">
        <v>17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0"/>
    </row>
    <row r="88" spans="2:17" ht="15.75" customHeight="1" thickBot="1" x14ac:dyDescent="0.25">
      <c r="B88" s="76"/>
      <c r="C88" s="45"/>
      <c r="D88" s="45"/>
      <c r="E88" s="45"/>
      <c r="F88" s="33">
        <f t="shared" ref="F88:Q88" si="8">SUM(F80:F87)</f>
        <v>0.25</v>
      </c>
      <c r="G88" s="33">
        <f t="shared" si="8"/>
        <v>0.35</v>
      </c>
      <c r="H88" s="33">
        <f t="shared" si="8"/>
        <v>0.4</v>
      </c>
      <c r="I88" s="33">
        <f t="shared" si="8"/>
        <v>0.45</v>
      </c>
      <c r="J88" s="33">
        <f t="shared" si="8"/>
        <v>0.5</v>
      </c>
      <c r="K88" s="33">
        <f t="shared" si="8"/>
        <v>0.55000000000000004</v>
      </c>
      <c r="L88" s="33">
        <f t="shared" si="8"/>
        <v>0.55000000000000004</v>
      </c>
      <c r="M88" s="33">
        <f t="shared" si="8"/>
        <v>0.55000000000000004</v>
      </c>
      <c r="N88" s="33">
        <f t="shared" si="8"/>
        <v>0.55000000000000004</v>
      </c>
      <c r="O88" s="33">
        <f t="shared" si="8"/>
        <v>0.5</v>
      </c>
      <c r="P88" s="33">
        <f t="shared" si="8"/>
        <v>0.5</v>
      </c>
      <c r="Q88" s="33">
        <f t="shared" si="8"/>
        <v>0.5</v>
      </c>
    </row>
    <row r="89" spans="2:17" ht="15.75" customHeight="1" x14ac:dyDescent="0.2">
      <c r="B89" s="35" t="s">
        <v>21</v>
      </c>
      <c r="C89" s="223" t="s">
        <v>8</v>
      </c>
      <c r="D89" s="223" t="s">
        <v>42</v>
      </c>
      <c r="E89" s="36" t="s">
        <v>9</v>
      </c>
      <c r="F89" s="37">
        <v>0.05</v>
      </c>
      <c r="G89" s="37">
        <v>0.05</v>
      </c>
      <c r="H89" s="37">
        <v>0.05</v>
      </c>
      <c r="I89" s="37">
        <v>0.05</v>
      </c>
      <c r="J89" s="37">
        <v>0.05</v>
      </c>
      <c r="K89" s="37">
        <v>0.05</v>
      </c>
      <c r="L89" s="37">
        <v>0.05</v>
      </c>
      <c r="M89" s="37">
        <v>0.05</v>
      </c>
      <c r="N89" s="37">
        <v>0.05</v>
      </c>
      <c r="O89" s="37">
        <v>0.05</v>
      </c>
      <c r="P89" s="37">
        <v>0.05</v>
      </c>
      <c r="Q89" s="48">
        <v>0.05</v>
      </c>
    </row>
    <row r="90" spans="2:17" ht="15.75" customHeight="1" x14ac:dyDescent="0.2">
      <c r="B90" s="19"/>
      <c r="C90" s="224"/>
      <c r="D90" s="224"/>
      <c r="E90" s="20" t="s">
        <v>11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2"/>
    </row>
    <row r="91" spans="2:17" ht="15.75" customHeight="1" x14ac:dyDescent="0.2"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</row>
    <row r="92" spans="2:17" ht="15.75" customHeight="1" x14ac:dyDescent="0.2">
      <c r="B92" s="23"/>
      <c r="C92" s="224"/>
      <c r="D92" s="224"/>
      <c r="E92" s="20" t="s">
        <v>13</v>
      </c>
      <c r="F92" s="21"/>
      <c r="G92" s="21"/>
      <c r="H92" s="24"/>
      <c r="I92" s="14"/>
      <c r="J92" s="16"/>
      <c r="K92" s="15"/>
      <c r="L92" s="14"/>
      <c r="M92" s="16"/>
      <c r="N92" s="15"/>
      <c r="O92" s="14"/>
      <c r="P92" s="16"/>
      <c r="Q92" s="25"/>
    </row>
    <row r="93" spans="2:17" ht="15.75" customHeight="1" x14ac:dyDescent="0.2">
      <c r="B93" s="23"/>
      <c r="C93" s="224"/>
      <c r="D93" s="224"/>
      <c r="E93" s="20" t="s">
        <v>14</v>
      </c>
      <c r="F93" s="21"/>
      <c r="G93" s="21"/>
      <c r="H93" s="24"/>
      <c r="I93" s="14"/>
      <c r="J93" s="16"/>
      <c r="K93" s="15"/>
      <c r="L93" s="14"/>
      <c r="M93" s="16"/>
      <c r="N93" s="15"/>
      <c r="O93" s="14"/>
      <c r="P93" s="16"/>
      <c r="Q93" s="25"/>
    </row>
    <row r="94" spans="2:17" ht="15.75" customHeight="1" x14ac:dyDescent="0.2">
      <c r="B94" s="23"/>
      <c r="C94" s="224"/>
      <c r="D94" s="224"/>
      <c r="E94" s="20" t="s">
        <v>15</v>
      </c>
      <c r="F94" s="21">
        <v>0.15</v>
      </c>
      <c r="G94" s="21">
        <v>0.15</v>
      </c>
      <c r="H94" s="24">
        <v>0.4</v>
      </c>
      <c r="I94" s="14">
        <v>0.4</v>
      </c>
      <c r="J94" s="16">
        <v>0.4</v>
      </c>
      <c r="K94" s="15">
        <v>0.4</v>
      </c>
      <c r="L94" s="14">
        <v>0.4</v>
      </c>
      <c r="M94" s="16">
        <v>0.4</v>
      </c>
      <c r="N94" s="15">
        <v>0.4</v>
      </c>
      <c r="O94" s="14">
        <v>0.4</v>
      </c>
      <c r="P94" s="16">
        <v>0.4</v>
      </c>
      <c r="Q94" s="25">
        <v>0.4</v>
      </c>
    </row>
    <row r="95" spans="2:17" ht="15.75" customHeight="1" x14ac:dyDescent="0.2">
      <c r="B95" s="23"/>
      <c r="C95" s="224"/>
      <c r="D95" s="224"/>
      <c r="E95" s="20" t="s">
        <v>16</v>
      </c>
      <c r="F95" s="21"/>
      <c r="G95" s="21"/>
      <c r="H95" s="24">
        <v>0.1</v>
      </c>
      <c r="I95" s="14">
        <v>0.15</v>
      </c>
      <c r="J95" s="16">
        <v>0.15</v>
      </c>
      <c r="K95" s="15">
        <v>0.15</v>
      </c>
      <c r="L95" s="14">
        <v>0.15</v>
      </c>
      <c r="M95" s="16">
        <v>0.15</v>
      </c>
      <c r="N95" s="15">
        <v>0.15</v>
      </c>
      <c r="O95" s="14">
        <v>0.15</v>
      </c>
      <c r="P95" s="16">
        <v>0.15</v>
      </c>
      <c r="Q95" s="25">
        <v>0.15</v>
      </c>
    </row>
    <row r="96" spans="2:17" ht="15.75" customHeight="1" x14ac:dyDescent="0.2">
      <c r="B96" s="27"/>
      <c r="C96" s="225"/>
      <c r="D96" s="225"/>
      <c r="E96" s="28" t="s">
        <v>17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0"/>
    </row>
    <row r="97" spans="2:17" ht="15.75" customHeight="1" thickBot="1" x14ac:dyDescent="0.25">
      <c r="B97" s="76"/>
      <c r="C97" s="45"/>
      <c r="D97" s="45"/>
      <c r="E97" s="45"/>
      <c r="F97" s="33">
        <f t="shared" ref="F97:Q97" si="9">SUM(F89:F96)</f>
        <v>0.2</v>
      </c>
      <c r="G97" s="33">
        <f t="shared" si="9"/>
        <v>0.2</v>
      </c>
      <c r="H97" s="33">
        <f t="shared" si="9"/>
        <v>0.55000000000000004</v>
      </c>
      <c r="I97" s="33">
        <f t="shared" si="9"/>
        <v>0.6</v>
      </c>
      <c r="J97" s="33">
        <f t="shared" si="9"/>
        <v>0.6</v>
      </c>
      <c r="K97" s="33">
        <f t="shared" si="9"/>
        <v>0.6</v>
      </c>
      <c r="L97" s="33">
        <f t="shared" si="9"/>
        <v>0.6</v>
      </c>
      <c r="M97" s="33">
        <f t="shared" si="9"/>
        <v>0.6</v>
      </c>
      <c r="N97" s="33">
        <f t="shared" si="9"/>
        <v>0.6</v>
      </c>
      <c r="O97" s="33">
        <f t="shared" si="9"/>
        <v>0.6</v>
      </c>
      <c r="P97" s="33">
        <f t="shared" si="9"/>
        <v>0.6</v>
      </c>
      <c r="Q97" s="33">
        <f t="shared" si="9"/>
        <v>0.6</v>
      </c>
    </row>
    <row r="98" spans="2:17" ht="15.75" customHeight="1" x14ac:dyDescent="0.2">
      <c r="B98" s="35" t="s">
        <v>101</v>
      </c>
      <c r="C98" s="223" t="s">
        <v>8</v>
      </c>
      <c r="D98" s="223" t="s">
        <v>42</v>
      </c>
      <c r="E98" s="36" t="s">
        <v>9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48"/>
    </row>
    <row r="99" spans="2:17" ht="15.75" customHeight="1" x14ac:dyDescent="0.2">
      <c r="B99" s="19"/>
      <c r="C99" s="224"/>
      <c r="D99" s="224"/>
      <c r="E99" s="20" t="s">
        <v>11</v>
      </c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2"/>
    </row>
    <row r="100" spans="2:17" ht="15.75" customHeight="1" x14ac:dyDescent="0.2">
      <c r="B100" s="23"/>
      <c r="C100" s="224"/>
      <c r="D100" s="224"/>
      <c r="E100" s="20" t="s">
        <v>12</v>
      </c>
      <c r="F100" s="21"/>
      <c r="G100" s="21"/>
      <c r="H100" s="24"/>
      <c r="I100" s="14"/>
      <c r="J100" s="16"/>
      <c r="K100" s="15"/>
      <c r="L100" s="14"/>
      <c r="M100" s="16"/>
      <c r="N100" s="15"/>
      <c r="O100" s="14"/>
      <c r="P100" s="16"/>
      <c r="Q100" s="25"/>
    </row>
    <row r="101" spans="2:17" ht="15.75" customHeight="1" x14ac:dyDescent="0.2">
      <c r="B101" s="23"/>
      <c r="C101" s="224"/>
      <c r="D101" s="224"/>
      <c r="E101" s="20" t="s">
        <v>13</v>
      </c>
      <c r="F101" s="21"/>
      <c r="G101" s="21"/>
      <c r="H101" s="24"/>
      <c r="I101" s="14"/>
      <c r="J101" s="16"/>
      <c r="K101" s="15"/>
      <c r="L101" s="14"/>
      <c r="M101" s="16"/>
      <c r="N101" s="15"/>
      <c r="O101" s="14"/>
      <c r="P101" s="16"/>
      <c r="Q101" s="25"/>
    </row>
    <row r="102" spans="2:17" ht="15.75" customHeight="1" x14ac:dyDescent="0.2">
      <c r="B102" s="23"/>
      <c r="C102" s="224"/>
      <c r="D102" s="224"/>
      <c r="E102" s="20" t="s">
        <v>14</v>
      </c>
      <c r="F102" s="21"/>
      <c r="G102" s="21"/>
      <c r="H102" s="24"/>
      <c r="I102" s="14"/>
      <c r="J102" s="16"/>
      <c r="K102" s="15"/>
      <c r="L102" s="14"/>
      <c r="M102" s="16"/>
      <c r="N102" s="15"/>
      <c r="O102" s="14"/>
      <c r="P102" s="16"/>
      <c r="Q102" s="25"/>
    </row>
    <row r="103" spans="2:17" ht="15.75" customHeight="1" x14ac:dyDescent="0.2">
      <c r="B103" s="23"/>
      <c r="C103" s="224"/>
      <c r="D103" s="224"/>
      <c r="E103" s="20" t="s">
        <v>15</v>
      </c>
      <c r="F103" s="21">
        <v>0.15</v>
      </c>
      <c r="G103" s="21">
        <v>0.15</v>
      </c>
      <c r="H103" s="24">
        <v>0.25</v>
      </c>
      <c r="I103" s="14">
        <v>0.25</v>
      </c>
      <c r="J103" s="16">
        <v>0.25</v>
      </c>
      <c r="K103" s="15">
        <v>0.25</v>
      </c>
      <c r="L103" s="14">
        <v>0.25</v>
      </c>
      <c r="M103" s="16">
        <v>0.25</v>
      </c>
      <c r="N103" s="15">
        <v>0.25</v>
      </c>
      <c r="O103" s="14">
        <v>0.25</v>
      </c>
      <c r="P103" s="16">
        <v>0.25</v>
      </c>
      <c r="Q103" s="25">
        <v>0.25</v>
      </c>
    </row>
    <row r="104" spans="2:17" ht="15.75" customHeight="1" x14ac:dyDescent="0.2">
      <c r="B104" s="23"/>
      <c r="C104" s="224"/>
      <c r="D104" s="224"/>
      <c r="E104" s="20" t="s">
        <v>16</v>
      </c>
      <c r="F104" s="21">
        <v>0.15</v>
      </c>
      <c r="G104" s="21"/>
      <c r="H104" s="24">
        <v>0.1</v>
      </c>
      <c r="I104" s="14">
        <v>0.15</v>
      </c>
      <c r="J104" s="16">
        <v>0.15</v>
      </c>
      <c r="K104" s="15">
        <v>0.15</v>
      </c>
      <c r="L104" s="14">
        <v>0.15</v>
      </c>
      <c r="M104" s="16">
        <v>0.15</v>
      </c>
      <c r="N104" s="15">
        <v>0.15</v>
      </c>
      <c r="O104" s="14">
        <v>0.15</v>
      </c>
      <c r="P104" s="16">
        <v>0.15</v>
      </c>
      <c r="Q104" s="25">
        <v>0.15</v>
      </c>
    </row>
    <row r="105" spans="2:17" ht="15.75" customHeight="1" x14ac:dyDescent="0.2">
      <c r="B105" s="27"/>
      <c r="C105" s="225"/>
      <c r="D105" s="225"/>
      <c r="E105" s="28" t="s">
        <v>17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</row>
    <row r="106" spans="2:17" ht="15.75" customHeight="1" thickBot="1" x14ac:dyDescent="0.25">
      <c r="B106" s="76"/>
      <c r="C106" s="45"/>
      <c r="D106" s="45"/>
      <c r="E106" s="45"/>
      <c r="F106" s="33">
        <f t="shared" ref="F106:Q106" si="10">SUM(F98:F105)</f>
        <v>0.3</v>
      </c>
      <c r="G106" s="33">
        <f t="shared" si="10"/>
        <v>0.15</v>
      </c>
      <c r="H106" s="33">
        <f t="shared" si="10"/>
        <v>0.35</v>
      </c>
      <c r="I106" s="33">
        <f t="shared" si="10"/>
        <v>0.4</v>
      </c>
      <c r="J106" s="33">
        <f t="shared" si="10"/>
        <v>0.4</v>
      </c>
      <c r="K106" s="33">
        <f t="shared" si="10"/>
        <v>0.4</v>
      </c>
      <c r="L106" s="33">
        <f t="shared" si="10"/>
        <v>0.4</v>
      </c>
      <c r="M106" s="33">
        <f t="shared" si="10"/>
        <v>0.4</v>
      </c>
      <c r="N106" s="33">
        <f t="shared" si="10"/>
        <v>0.4</v>
      </c>
      <c r="O106" s="33">
        <f t="shared" si="10"/>
        <v>0.4</v>
      </c>
      <c r="P106" s="33">
        <f t="shared" si="10"/>
        <v>0.4</v>
      </c>
      <c r="Q106" s="33">
        <f t="shared" si="10"/>
        <v>0.4</v>
      </c>
    </row>
    <row r="107" spans="2:17" ht="15.75" customHeight="1" x14ac:dyDescent="0.2"/>
    <row r="108" spans="2:17" ht="15.75" customHeight="1" x14ac:dyDescent="0.2"/>
    <row r="109" spans="2:17" ht="15.75" customHeight="1" x14ac:dyDescent="0.2"/>
    <row r="110" spans="2:17" ht="15.75" customHeight="1" x14ac:dyDescent="0.2"/>
    <row r="111" spans="2:17" ht="15.75" customHeight="1" x14ac:dyDescent="0.2"/>
    <row r="112" spans="2:17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mergeCells count="26">
    <mergeCell ref="C98:C105"/>
    <mergeCell ref="D98:D105"/>
    <mergeCell ref="C71:C78"/>
    <mergeCell ref="D71:D78"/>
    <mergeCell ref="C80:C87"/>
    <mergeCell ref="D80:D87"/>
    <mergeCell ref="C89:C96"/>
    <mergeCell ref="D89:D96"/>
    <mergeCell ref="C44:C51"/>
    <mergeCell ref="D44:D51"/>
    <mergeCell ref="C53:C60"/>
    <mergeCell ref="D53:D60"/>
    <mergeCell ref="C62:C69"/>
    <mergeCell ref="D62:D69"/>
    <mergeCell ref="C17:C24"/>
    <mergeCell ref="D17:D24"/>
    <mergeCell ref="C26:C33"/>
    <mergeCell ref="D26:D33"/>
    <mergeCell ref="C35:C42"/>
    <mergeCell ref="D35:D42"/>
    <mergeCell ref="B2:Q2"/>
    <mergeCell ref="B3:Q3"/>
    <mergeCell ref="B4:Q4"/>
    <mergeCell ref="B5:Q5"/>
    <mergeCell ref="C8:C15"/>
    <mergeCell ref="D8:D15"/>
  </mergeCells>
  <conditionalFormatting sqref="B8 D8">
    <cfRule type="expression" dxfId="402" priority="13">
      <formula>#REF!="Total"</formula>
    </cfRule>
  </conditionalFormatting>
  <conditionalFormatting sqref="B8:B15">
    <cfRule type="expression" dxfId="401" priority="14">
      <formula>$E8="Total"</formula>
    </cfRule>
  </conditionalFormatting>
  <conditionalFormatting sqref="B17:B24">
    <cfRule type="expression" dxfId="400" priority="15">
      <formula>$E17="Total"</formula>
    </cfRule>
  </conditionalFormatting>
  <conditionalFormatting sqref="B26:B33">
    <cfRule type="expression" dxfId="399" priority="16">
      <formula>$E26="Total"</formula>
    </cfRule>
  </conditionalFormatting>
  <conditionalFormatting sqref="B35:B42">
    <cfRule type="expression" dxfId="398" priority="17">
      <formula>$E35="Total"</formula>
    </cfRule>
  </conditionalFormatting>
  <conditionalFormatting sqref="B44:B51">
    <cfRule type="expression" dxfId="397" priority="18">
      <formula>$E44="Total"</formula>
    </cfRule>
  </conditionalFormatting>
  <conditionalFormatting sqref="B53:B60">
    <cfRule type="expression" dxfId="396" priority="19">
      <formula>$E53="Total"</formula>
    </cfRule>
  </conditionalFormatting>
  <conditionalFormatting sqref="B62:B69">
    <cfRule type="expression" dxfId="395" priority="20">
      <formula>$E62="Total"</formula>
    </cfRule>
  </conditionalFormatting>
  <conditionalFormatting sqref="B71:B78">
    <cfRule type="expression" dxfId="394" priority="48">
      <formula>$E71="Total"</formula>
    </cfRule>
  </conditionalFormatting>
  <conditionalFormatting sqref="B80:B87">
    <cfRule type="expression" dxfId="393" priority="53">
      <formula>$E80="Total"</formula>
    </cfRule>
  </conditionalFormatting>
  <conditionalFormatting sqref="B89:B96">
    <cfRule type="expression" dxfId="392" priority="58">
      <formula>$E89="Total"</formula>
    </cfRule>
  </conditionalFormatting>
  <conditionalFormatting sqref="E9:E14 F10:H14 E15:Q15 E18:E23 F19:H23 E24:Q24 E27:E32 E33:Q33 B7:Q7">
    <cfRule type="expression" dxfId="391" priority="21">
      <formula>$E7="Total"</formula>
    </cfRule>
  </conditionalFormatting>
  <conditionalFormatting sqref="B16:Q16 F25:Q27 F34:Q36 F52:Q54 F87:Q90 F96:Q97 F61:Q63 F43:Q45 F70:Q72 F79:Q81">
    <cfRule type="expression" dxfId="390" priority="22">
      <formula>$E16="Total"</formula>
    </cfRule>
  </conditionalFormatting>
  <conditionalFormatting sqref="B25:Q25">
    <cfRule type="expression" dxfId="389" priority="23">
      <formula>$E25="Total"</formula>
    </cfRule>
  </conditionalFormatting>
  <conditionalFormatting sqref="B34:Q34">
    <cfRule type="expression" dxfId="388" priority="24">
      <formula>$E34="Total"</formula>
    </cfRule>
  </conditionalFormatting>
  <conditionalFormatting sqref="B43:Q43">
    <cfRule type="expression" dxfId="387" priority="25">
      <formula>$E43="Total"</formula>
    </cfRule>
  </conditionalFormatting>
  <conditionalFormatting sqref="B52:Q52">
    <cfRule type="expression" dxfId="386" priority="26">
      <formula>$E52="Total"</formula>
    </cfRule>
  </conditionalFormatting>
  <conditionalFormatting sqref="B61:Q61">
    <cfRule type="expression" dxfId="385" priority="27">
      <formula>$E61="Total"</formula>
    </cfRule>
  </conditionalFormatting>
  <conditionalFormatting sqref="B70:Q70">
    <cfRule type="expression" dxfId="384" priority="28">
      <formula>$E70="Total"</formula>
    </cfRule>
  </conditionalFormatting>
  <conditionalFormatting sqref="B79:Q79">
    <cfRule type="expression" dxfId="383" priority="52">
      <formula>$E79="Total"</formula>
    </cfRule>
  </conditionalFormatting>
  <conditionalFormatting sqref="B88:Q88 B97:Q97">
    <cfRule type="expression" dxfId="382" priority="57">
      <formula>$E88="Total"</formula>
    </cfRule>
  </conditionalFormatting>
  <conditionalFormatting sqref="C26:E26">
    <cfRule type="expression" dxfId="381" priority="29">
      <formula>$E26="Total"</formula>
    </cfRule>
  </conditionalFormatting>
  <conditionalFormatting sqref="C35:E35">
    <cfRule type="expression" dxfId="380" priority="30">
      <formula>$E35="Total"</formula>
    </cfRule>
  </conditionalFormatting>
  <conditionalFormatting sqref="C44:E44">
    <cfRule type="expression" dxfId="379" priority="31">
      <formula>$E44="Total"</formula>
    </cfRule>
  </conditionalFormatting>
  <conditionalFormatting sqref="C53:E53">
    <cfRule type="expression" dxfId="378" priority="32">
      <formula>$E53="Total"</formula>
    </cfRule>
  </conditionalFormatting>
  <conditionalFormatting sqref="C62:E62">
    <cfRule type="expression" dxfId="377" priority="33">
      <formula>$E62="Total"</formula>
    </cfRule>
  </conditionalFormatting>
  <conditionalFormatting sqref="C71:E71">
    <cfRule type="expression" dxfId="376" priority="49">
      <formula>$E71="Total"</formula>
    </cfRule>
  </conditionalFormatting>
  <conditionalFormatting sqref="C80:E80">
    <cfRule type="expression" dxfId="375" priority="54">
      <formula>$E80="Total"</formula>
    </cfRule>
  </conditionalFormatting>
  <conditionalFormatting sqref="C89:E89">
    <cfRule type="expression" dxfId="374" priority="59">
      <formula>$E89="Total"</formula>
    </cfRule>
  </conditionalFormatting>
  <conditionalFormatting sqref="C8:H8">
    <cfRule type="expression" dxfId="373" priority="34">
      <formula>$E8="Total"</formula>
    </cfRule>
  </conditionalFormatting>
  <conditionalFormatting sqref="C17:H17">
    <cfRule type="expression" dxfId="372" priority="35">
      <formula>$E17="Total"</formula>
    </cfRule>
  </conditionalFormatting>
  <conditionalFormatting sqref="E36:E41 E42:Q42">
    <cfRule type="expression" dxfId="371" priority="36">
      <formula>$E36="Total"</formula>
    </cfRule>
  </conditionalFormatting>
  <conditionalFormatting sqref="E45:E50 E51:Q51">
    <cfRule type="expression" dxfId="370" priority="37">
      <formula>$E45="Total"</formula>
    </cfRule>
  </conditionalFormatting>
  <conditionalFormatting sqref="E54:E59 E60:Q60">
    <cfRule type="expression" dxfId="369" priority="38">
      <formula>$E54="Total"</formula>
    </cfRule>
  </conditionalFormatting>
  <conditionalFormatting sqref="E63:E68 E69:Q69">
    <cfRule type="expression" dxfId="368" priority="39">
      <formula>$E63="Total"</formula>
    </cfRule>
  </conditionalFormatting>
  <conditionalFormatting sqref="E72:E77 E78:Q78">
    <cfRule type="expression" dxfId="367" priority="50">
      <formula>$E72="Total"</formula>
    </cfRule>
  </conditionalFormatting>
  <conditionalFormatting sqref="E81:E87">
    <cfRule type="expression" dxfId="366" priority="55">
      <formula>$E81="Total"</formula>
    </cfRule>
  </conditionalFormatting>
  <conditionalFormatting sqref="E90:E96">
    <cfRule type="expression" dxfId="365" priority="60">
      <formula>$E90="Total"</formula>
    </cfRule>
  </conditionalFormatting>
  <conditionalFormatting sqref="F28:H32">
    <cfRule type="expression" dxfId="364" priority="40">
      <formula>$E28="Total"</formula>
    </cfRule>
  </conditionalFormatting>
  <conditionalFormatting sqref="F37:H41">
    <cfRule type="expression" dxfId="363" priority="41">
      <formula>$E37="Total"</formula>
    </cfRule>
  </conditionalFormatting>
  <conditionalFormatting sqref="F48:H50 F46:Q47">
    <cfRule type="expression" dxfId="362" priority="42">
      <formula>$E46="Total"</formula>
    </cfRule>
  </conditionalFormatting>
  <conditionalFormatting sqref="F55:H59">
    <cfRule type="expression" dxfId="361" priority="43">
      <formula>$E55="Total"</formula>
    </cfRule>
  </conditionalFormatting>
  <conditionalFormatting sqref="F68:H68 G64:H67">
    <cfRule type="expression" dxfId="360" priority="44">
      <formula>$E64="Total"</formula>
    </cfRule>
  </conditionalFormatting>
  <conditionalFormatting sqref="F73:H77">
    <cfRule type="expression" dxfId="359" priority="51">
      <formula>$E73="Total"</formula>
    </cfRule>
  </conditionalFormatting>
  <conditionalFormatting sqref="F83:H86 F82:N82">
    <cfRule type="expression" dxfId="358" priority="56">
      <formula>$E82="Total"</formula>
    </cfRule>
  </conditionalFormatting>
  <conditionalFormatting sqref="F91:H95">
    <cfRule type="expression" dxfId="357" priority="61">
      <formula>$E91="Total"</formula>
    </cfRule>
  </conditionalFormatting>
  <conditionalFormatting sqref="F9:Q9">
    <cfRule type="expression" dxfId="356" priority="45">
      <formula>$E9="Total"</formula>
    </cfRule>
  </conditionalFormatting>
  <conditionalFormatting sqref="F18:Q18">
    <cfRule type="expression" dxfId="355" priority="46">
      <formula>$E18="Total"</formula>
    </cfRule>
  </conditionalFormatting>
  <conditionalFormatting sqref="I23:Q23">
    <cfRule type="expression" dxfId="354" priority="47">
      <formula>$E23="Total"</formula>
    </cfRule>
  </conditionalFormatting>
  <conditionalFormatting sqref="I73">
    <cfRule type="expression" dxfId="91" priority="12">
      <formula>$E73="Total"</formula>
    </cfRule>
  </conditionalFormatting>
  <conditionalFormatting sqref="J73">
    <cfRule type="expression" dxfId="90" priority="11">
      <formula>$E73="Total"</formula>
    </cfRule>
  </conditionalFormatting>
  <conditionalFormatting sqref="K73">
    <cfRule type="expression" dxfId="89" priority="10">
      <formula>$E73="Total"</formula>
    </cfRule>
  </conditionalFormatting>
  <conditionalFormatting sqref="L73">
    <cfRule type="expression" dxfId="88" priority="9">
      <formula>$E73="Total"</formula>
    </cfRule>
  </conditionalFormatting>
  <conditionalFormatting sqref="M73">
    <cfRule type="expression" dxfId="87" priority="8">
      <formula>$E73="Total"</formula>
    </cfRule>
  </conditionalFormatting>
  <conditionalFormatting sqref="N73">
    <cfRule type="expression" dxfId="86" priority="7">
      <formula>$E73="Total"</formula>
    </cfRule>
  </conditionalFormatting>
  <conditionalFormatting sqref="B98:B105">
    <cfRule type="expression" dxfId="85" priority="3">
      <formula>$E98="Total"</formula>
    </cfRule>
  </conditionalFormatting>
  <conditionalFormatting sqref="F98:Q99 F105:Q106">
    <cfRule type="expression" dxfId="84" priority="1">
      <formula>$E98="Total"</formula>
    </cfRule>
  </conditionalFormatting>
  <conditionalFormatting sqref="B106:Q106">
    <cfRule type="expression" dxfId="83" priority="2">
      <formula>$E106="Total"</formula>
    </cfRule>
  </conditionalFormatting>
  <conditionalFormatting sqref="C98:E98">
    <cfRule type="expression" dxfId="82" priority="4">
      <formula>$E98="Total"</formula>
    </cfRule>
  </conditionalFormatting>
  <conditionalFormatting sqref="E99:E105">
    <cfRule type="expression" dxfId="81" priority="5">
      <formula>$E99="Total"</formula>
    </cfRule>
  </conditionalFormatting>
  <conditionalFormatting sqref="F100:H104">
    <cfRule type="expression" dxfId="80" priority="6">
      <formula>$E100="Total"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workbookViewId="0">
      <selection sqref="A1:XFD1048576"/>
    </sheetView>
  </sheetViews>
  <sheetFormatPr baseColWidth="10" defaultColWidth="14.5" defaultRowHeight="15" customHeight="1" x14ac:dyDescent="0.2"/>
  <cols>
    <col min="1" max="1" width="3.83203125" customWidth="1"/>
    <col min="2" max="2" width="28.6640625" customWidth="1"/>
    <col min="3" max="4" width="14.6640625" customWidth="1"/>
    <col min="5" max="5" width="40.6640625" customWidth="1"/>
    <col min="6" max="8" width="8.6640625" customWidth="1"/>
    <col min="9" max="17" width="8.83203125" customWidth="1"/>
    <col min="18" max="26" width="8.6640625" customWidth="1"/>
  </cols>
  <sheetData>
    <row r="1" spans="1:26" ht="12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">
      <c r="A2" s="4"/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">
      <c r="A3" s="4"/>
      <c r="B3" s="229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 x14ac:dyDescent="0.2">
      <c r="A4" s="4"/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 x14ac:dyDescent="0.2">
      <c r="A5" s="4"/>
      <c r="B5" s="232" t="s">
        <v>52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 x14ac:dyDescent="0.2">
      <c r="A6" s="4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spans="1:26" ht="63.75" customHeight="1" x14ac:dyDescent="0.2">
      <c r="A7" s="4"/>
      <c r="B7" s="8" t="s">
        <v>4</v>
      </c>
      <c r="C7" s="9" t="s">
        <v>5</v>
      </c>
      <c r="D7" s="9" t="s">
        <v>6</v>
      </c>
      <c r="E7" s="10"/>
      <c r="F7" s="2">
        <v>44743</v>
      </c>
      <c r="G7" s="2">
        <v>44774</v>
      </c>
      <c r="H7" s="2">
        <v>44805</v>
      </c>
      <c r="I7" s="2">
        <v>44835</v>
      </c>
      <c r="J7" s="2">
        <v>44866</v>
      </c>
      <c r="K7" s="2">
        <v>44896</v>
      </c>
      <c r="L7" s="2">
        <v>44927</v>
      </c>
      <c r="M7" s="2">
        <v>44958</v>
      </c>
      <c r="N7" s="2">
        <v>44986</v>
      </c>
      <c r="O7" s="2">
        <v>45017</v>
      </c>
      <c r="P7" s="2">
        <v>45047</v>
      </c>
      <c r="Q7" s="3">
        <v>45078</v>
      </c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 x14ac:dyDescent="0.2">
      <c r="A8" s="4"/>
      <c r="B8" s="11" t="s">
        <v>7</v>
      </c>
      <c r="C8" s="235" t="s">
        <v>8</v>
      </c>
      <c r="D8" s="235" t="s">
        <v>8</v>
      </c>
      <c r="E8" s="13" t="s">
        <v>9</v>
      </c>
      <c r="F8" s="14"/>
      <c r="G8" s="14"/>
      <c r="H8" s="15"/>
      <c r="I8" s="14"/>
      <c r="J8" s="16"/>
      <c r="K8" s="17"/>
      <c r="L8" s="14"/>
      <c r="M8" s="16"/>
      <c r="N8" s="17"/>
      <c r="O8" s="14"/>
      <c r="P8" s="16"/>
      <c r="Q8" s="18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 x14ac:dyDescent="0.2">
      <c r="A9" s="4"/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 x14ac:dyDescent="0.2">
      <c r="A10" s="4"/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x14ac:dyDescent="0.2">
      <c r="A11" s="4"/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x14ac:dyDescent="0.2">
      <c r="A12" s="4"/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 x14ac:dyDescent="0.2">
      <c r="A13" s="4"/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 x14ac:dyDescent="0.2">
      <c r="A14" s="4"/>
      <c r="B14" s="23"/>
      <c r="C14" s="224"/>
      <c r="D14" s="224"/>
      <c r="E14" s="20" t="s">
        <v>16</v>
      </c>
      <c r="F14" s="21"/>
      <c r="G14" s="21"/>
      <c r="H14" s="24">
        <v>0.05</v>
      </c>
      <c r="I14" s="14">
        <v>0.05</v>
      </c>
      <c r="J14" s="16">
        <v>0.05</v>
      </c>
      <c r="K14" s="15">
        <v>0.4</v>
      </c>
      <c r="L14" s="14">
        <v>0.1</v>
      </c>
      <c r="M14" s="16">
        <v>0.05</v>
      </c>
      <c r="N14" s="15">
        <v>0.05</v>
      </c>
      <c r="O14" s="14">
        <v>0.06</v>
      </c>
      <c r="P14" s="16">
        <v>0.05</v>
      </c>
      <c r="Q14" s="25">
        <v>0.05</v>
      </c>
      <c r="R14" s="5"/>
      <c r="S14" s="5" t="s">
        <v>53</v>
      </c>
      <c r="T14" s="5"/>
      <c r="U14" s="5"/>
      <c r="V14" s="5"/>
      <c r="W14" s="5"/>
      <c r="X14" s="5"/>
      <c r="Y14" s="5"/>
      <c r="Z14" s="5"/>
    </row>
    <row r="15" spans="1:26" ht="12" customHeight="1" x14ac:dyDescent="0.2">
      <c r="A15" s="26"/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 x14ac:dyDescent="0.2">
      <c r="A16" s="4"/>
      <c r="B16" s="31"/>
      <c r="C16" s="32"/>
      <c r="D16" s="32"/>
      <c r="E16" s="32" t="s">
        <v>18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 x14ac:dyDescent="0.2">
      <c r="A17" s="4"/>
      <c r="B17" s="35" t="s">
        <v>19</v>
      </c>
      <c r="C17" s="223" t="s">
        <v>8</v>
      </c>
      <c r="D17" s="223" t="s">
        <v>8</v>
      </c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 x14ac:dyDescent="0.2">
      <c r="A18" s="4"/>
      <c r="B18" s="19" t="s">
        <v>20</v>
      </c>
      <c r="C18" s="224"/>
      <c r="D18" s="224"/>
      <c r="E18" s="20" t="s">
        <v>11</v>
      </c>
      <c r="F18" s="21"/>
      <c r="G18" s="21"/>
      <c r="H18" s="21">
        <v>0.05</v>
      </c>
      <c r="I18" s="21">
        <v>0.05</v>
      </c>
      <c r="J18" s="21">
        <v>0.05</v>
      </c>
      <c r="K18" s="21">
        <v>0.05</v>
      </c>
      <c r="L18" s="21">
        <v>0.05</v>
      </c>
      <c r="M18" s="21">
        <v>0.05</v>
      </c>
      <c r="N18" s="21">
        <v>0.05</v>
      </c>
      <c r="O18" s="21">
        <v>0.05</v>
      </c>
      <c r="P18" s="21">
        <v>0.05</v>
      </c>
      <c r="Q18" s="22">
        <v>0.05</v>
      </c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 x14ac:dyDescent="0.2">
      <c r="A19" s="4"/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 x14ac:dyDescent="0.2">
      <c r="A20" s="4"/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 x14ac:dyDescent="0.2">
      <c r="A21" s="4"/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 x14ac:dyDescent="0.2">
      <c r="A22" s="4"/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 x14ac:dyDescent="0.2">
      <c r="A23" s="4"/>
      <c r="B23" s="23"/>
      <c r="C23" s="224"/>
      <c r="D23" s="224"/>
      <c r="E23" s="20" t="s">
        <v>16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 x14ac:dyDescent="0.2">
      <c r="A24" s="26"/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 x14ac:dyDescent="0.2">
      <c r="A25" s="4"/>
      <c r="B25" s="42"/>
      <c r="C25" s="43"/>
      <c r="D25" s="43"/>
      <c r="E25" s="44" t="s">
        <v>18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2">
      <c r="B26" s="35" t="s">
        <v>54</v>
      </c>
      <c r="C26" s="223" t="s">
        <v>8</v>
      </c>
      <c r="D26" s="223" t="s">
        <v>38</v>
      </c>
      <c r="E26" s="36" t="s">
        <v>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</row>
    <row r="27" spans="1:26" ht="15.75" customHeight="1" x14ac:dyDescent="0.2">
      <c r="B27" s="19" t="s">
        <v>55</v>
      </c>
      <c r="C27" s="224"/>
      <c r="D27" s="224"/>
      <c r="E27" s="20" t="s">
        <v>11</v>
      </c>
      <c r="F27" s="21"/>
      <c r="G27" s="21"/>
      <c r="H27" s="21">
        <v>0.05</v>
      </c>
      <c r="I27" s="21"/>
      <c r="J27" s="21">
        <v>0.05</v>
      </c>
      <c r="K27" s="21"/>
      <c r="L27" s="21">
        <v>0.05</v>
      </c>
      <c r="M27" s="21"/>
      <c r="N27" s="21"/>
      <c r="O27" s="21">
        <v>0.05</v>
      </c>
      <c r="P27" s="21"/>
      <c r="Q27" s="22"/>
    </row>
    <row r="28" spans="1:26" ht="15.75" customHeight="1" x14ac:dyDescent="0.2">
      <c r="B28" s="23"/>
      <c r="C28" s="224"/>
      <c r="D28" s="224"/>
      <c r="E28" s="20" t="s">
        <v>12</v>
      </c>
      <c r="F28" s="21"/>
      <c r="G28" s="21"/>
      <c r="H28" s="24">
        <v>0.05</v>
      </c>
      <c r="I28" s="14"/>
      <c r="J28" s="16">
        <v>0.05</v>
      </c>
      <c r="K28" s="15"/>
      <c r="L28" s="14">
        <v>0.05</v>
      </c>
      <c r="M28" s="16"/>
      <c r="N28" s="15"/>
      <c r="O28" s="14">
        <v>0.05</v>
      </c>
      <c r="P28" s="16"/>
      <c r="Q28" s="25"/>
    </row>
    <row r="29" spans="1:26" ht="15.75" customHeight="1" x14ac:dyDescent="0.2"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</row>
    <row r="30" spans="1:26" ht="15.75" customHeight="1" x14ac:dyDescent="0.2"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</row>
    <row r="31" spans="1:26" ht="15.75" customHeight="1" x14ac:dyDescent="0.2"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</row>
    <row r="32" spans="1:26" ht="15.75" customHeight="1" x14ac:dyDescent="0.2">
      <c r="B32" s="23"/>
      <c r="C32" s="224"/>
      <c r="D32" s="224"/>
      <c r="E32" s="20" t="s">
        <v>16</v>
      </c>
      <c r="F32" s="21"/>
      <c r="G32" s="21"/>
      <c r="H32" s="24"/>
      <c r="I32" s="14"/>
      <c r="J32" s="16"/>
      <c r="K32" s="15"/>
      <c r="L32" s="14"/>
      <c r="M32" s="16"/>
      <c r="N32" s="15"/>
      <c r="O32" s="14"/>
      <c r="P32" s="16"/>
      <c r="Q32" s="25"/>
    </row>
    <row r="33" spans="1:26" ht="15.75" customHeight="1" x14ac:dyDescent="0.2"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</row>
    <row r="34" spans="1:26" ht="15.75" customHeight="1" x14ac:dyDescent="0.2">
      <c r="B34" s="76"/>
      <c r="C34" s="45"/>
      <c r="D34" s="45"/>
      <c r="E34" s="45"/>
      <c r="F34" s="33">
        <f t="shared" ref="F34:Q34" si="0">SUM(F26:F33)</f>
        <v>0</v>
      </c>
      <c r="G34" s="33">
        <f t="shared" si="0"/>
        <v>0</v>
      </c>
      <c r="H34" s="33">
        <f t="shared" si="0"/>
        <v>0.1</v>
      </c>
      <c r="I34" s="33">
        <f t="shared" si="0"/>
        <v>0</v>
      </c>
      <c r="J34" s="33">
        <f t="shared" si="0"/>
        <v>0.1</v>
      </c>
      <c r="K34" s="33">
        <f t="shared" si="0"/>
        <v>0</v>
      </c>
      <c r="L34" s="33">
        <f t="shared" si="0"/>
        <v>0.1</v>
      </c>
      <c r="M34" s="33">
        <f t="shared" si="0"/>
        <v>0</v>
      </c>
      <c r="N34" s="33">
        <f t="shared" si="0"/>
        <v>0</v>
      </c>
      <c r="O34" s="33">
        <f t="shared" si="0"/>
        <v>0.1</v>
      </c>
      <c r="P34" s="33">
        <f t="shared" si="0"/>
        <v>0</v>
      </c>
      <c r="Q34" s="33">
        <f t="shared" si="0"/>
        <v>0</v>
      </c>
    </row>
    <row r="35" spans="1:26" ht="12" customHeight="1" x14ac:dyDescent="0.2">
      <c r="A35" s="4"/>
      <c r="B35" s="35" t="s">
        <v>23</v>
      </c>
      <c r="C35" s="223" t="s">
        <v>8</v>
      </c>
      <c r="D35" s="223" t="s">
        <v>8</v>
      </c>
      <c r="E35" s="36" t="s">
        <v>9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8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 x14ac:dyDescent="0.2">
      <c r="A36" s="4"/>
      <c r="B36" s="19" t="s">
        <v>24</v>
      </c>
      <c r="C36" s="224"/>
      <c r="D36" s="224"/>
      <c r="E36" s="20" t="s">
        <v>11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2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">
      <c r="A37" s="4"/>
      <c r="B37" s="23"/>
      <c r="C37" s="224"/>
      <c r="D37" s="224"/>
      <c r="E37" s="20" t="s">
        <v>12</v>
      </c>
      <c r="F37" s="21"/>
      <c r="G37" s="21"/>
      <c r="H37" s="21">
        <v>0.39019999999999999</v>
      </c>
      <c r="I37" s="14">
        <v>0.36249999999999999</v>
      </c>
      <c r="J37" s="14">
        <v>0.36249999999999999</v>
      </c>
      <c r="K37" s="14">
        <v>0.36249999999999999</v>
      </c>
      <c r="L37" s="14">
        <v>0.40689999999999998</v>
      </c>
      <c r="M37" s="14">
        <v>0.40689999999999998</v>
      </c>
      <c r="N37" s="14">
        <v>0.40689999999999998</v>
      </c>
      <c r="O37" s="14">
        <v>0.45</v>
      </c>
      <c r="P37" s="14">
        <v>0.45</v>
      </c>
      <c r="Q37" s="14">
        <v>0.45</v>
      </c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 x14ac:dyDescent="0.2">
      <c r="A38" s="4"/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 x14ac:dyDescent="0.2">
      <c r="A39" s="4"/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 x14ac:dyDescent="0.2">
      <c r="A40" s="4"/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 x14ac:dyDescent="0.2">
      <c r="A41" s="4"/>
      <c r="B41" s="23"/>
      <c r="C41" s="224"/>
      <c r="D41" s="224"/>
      <c r="E41" s="20" t="s">
        <v>16</v>
      </c>
      <c r="F41" s="21"/>
      <c r="G41" s="21"/>
      <c r="H41" s="24"/>
      <c r="I41" s="14"/>
      <c r="J41" s="16"/>
      <c r="K41" s="15"/>
      <c r="L41" s="14"/>
      <c r="M41" s="16"/>
      <c r="N41" s="15"/>
      <c r="O41" s="14"/>
      <c r="P41" s="16"/>
      <c r="Q41" s="2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 x14ac:dyDescent="0.2">
      <c r="A42" s="4"/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 x14ac:dyDescent="0.2">
      <c r="A43" s="4"/>
      <c r="B43" s="42"/>
      <c r="C43" s="43"/>
      <c r="D43" s="43"/>
      <c r="E43" s="44" t="s">
        <v>18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 x14ac:dyDescent="0.2">
      <c r="A44" s="4"/>
      <c r="B44" s="35" t="s">
        <v>25</v>
      </c>
      <c r="C44" s="223" t="s">
        <v>8</v>
      </c>
      <c r="D44" s="223" t="s">
        <v>8</v>
      </c>
      <c r="E44" s="13" t="s">
        <v>9</v>
      </c>
      <c r="F44" s="14"/>
      <c r="G44" s="14"/>
      <c r="H44" s="15"/>
      <c r="I44" s="14"/>
      <c r="J44" s="16"/>
      <c r="K44" s="17"/>
      <c r="L44" s="14"/>
      <c r="M44" s="16"/>
      <c r="N44" s="17"/>
      <c r="O44" s="14"/>
      <c r="P44" s="16"/>
      <c r="Q44" s="18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 x14ac:dyDescent="0.2">
      <c r="A45" s="4"/>
      <c r="B45" s="19" t="s">
        <v>26</v>
      </c>
      <c r="C45" s="224"/>
      <c r="D45" s="224"/>
      <c r="E45" s="20" t="s">
        <v>11</v>
      </c>
      <c r="F45" s="21"/>
      <c r="G45" s="21"/>
      <c r="H45" s="24">
        <v>0.89</v>
      </c>
      <c r="I45" s="21">
        <v>0.91</v>
      </c>
      <c r="J45" s="49">
        <v>0.91</v>
      </c>
      <c r="K45" s="15">
        <v>0.91</v>
      </c>
      <c r="L45" s="21">
        <v>0.92</v>
      </c>
      <c r="M45" s="49">
        <v>0.92</v>
      </c>
      <c r="N45" s="15">
        <v>0.92</v>
      </c>
      <c r="O45" s="21">
        <v>0.92</v>
      </c>
      <c r="P45" s="21">
        <v>0.92</v>
      </c>
      <c r="Q45" s="21">
        <v>0.92</v>
      </c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 x14ac:dyDescent="0.2">
      <c r="A46" s="4"/>
      <c r="B46" s="23"/>
      <c r="C46" s="224"/>
      <c r="D46" s="224"/>
      <c r="E46" s="20" t="s">
        <v>12</v>
      </c>
      <c r="F46" s="21"/>
      <c r="G46" s="21"/>
      <c r="H46" s="24"/>
      <c r="I46" s="14"/>
      <c r="J46" s="16"/>
      <c r="K46" s="15"/>
      <c r="L46" s="14"/>
      <c r="M46" s="16"/>
      <c r="N46" s="15"/>
      <c r="O46" s="14"/>
      <c r="P46" s="16"/>
      <c r="Q46" s="2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 x14ac:dyDescent="0.2">
      <c r="A47" s="4"/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 x14ac:dyDescent="0.2">
      <c r="A48" s="4"/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 x14ac:dyDescent="0.2">
      <c r="A49" s="4"/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 x14ac:dyDescent="0.2">
      <c r="A50" s="4"/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 x14ac:dyDescent="0.2">
      <c r="A51" s="4"/>
      <c r="B51" s="27"/>
      <c r="C51" s="225"/>
      <c r="D51" s="225"/>
      <c r="E51" s="28" t="s">
        <v>17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 x14ac:dyDescent="0.2">
      <c r="A52" s="4"/>
      <c r="B52" s="31"/>
      <c r="C52" s="32"/>
      <c r="D52" s="32"/>
      <c r="E52" s="32" t="s">
        <v>18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4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 x14ac:dyDescent="0.2">
      <c r="A53" s="4"/>
      <c r="B53" s="35" t="s">
        <v>46</v>
      </c>
      <c r="C53" s="223" t="s">
        <v>8</v>
      </c>
      <c r="D53" s="223" t="s">
        <v>8</v>
      </c>
      <c r="E53" s="36" t="s">
        <v>9</v>
      </c>
      <c r="F53" s="37"/>
      <c r="G53" s="37"/>
      <c r="H53" s="38"/>
      <c r="I53" s="37"/>
      <c r="J53" s="39"/>
      <c r="K53" s="40"/>
      <c r="L53" s="37"/>
      <c r="M53" s="39"/>
      <c r="N53" s="40"/>
      <c r="O53" s="37"/>
      <c r="P53" s="39"/>
      <c r="Q53" s="41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 x14ac:dyDescent="0.2">
      <c r="A54" s="4"/>
      <c r="B54" s="19" t="s">
        <v>47</v>
      </c>
      <c r="C54" s="224"/>
      <c r="D54" s="224"/>
      <c r="E54" s="20" t="s">
        <v>11</v>
      </c>
      <c r="F54" s="21"/>
      <c r="G54" s="21"/>
      <c r="H54" s="24"/>
      <c r="I54" s="21"/>
      <c r="J54" s="49"/>
      <c r="K54" s="15"/>
      <c r="L54" s="21"/>
      <c r="M54" s="49"/>
      <c r="N54" s="15"/>
      <c r="O54" s="21"/>
      <c r="P54" s="49"/>
      <c r="Q54" s="2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 x14ac:dyDescent="0.2">
      <c r="A55" s="4"/>
      <c r="B55" s="23"/>
      <c r="C55" s="224"/>
      <c r="D55" s="224"/>
      <c r="E55" s="20" t="s">
        <v>12</v>
      </c>
      <c r="F55" s="21"/>
      <c r="G55" s="21"/>
      <c r="H55" s="24">
        <v>0.25</v>
      </c>
      <c r="I55" s="14">
        <v>0.44</v>
      </c>
      <c r="J55" s="16">
        <v>0.44</v>
      </c>
      <c r="K55" s="15">
        <v>0.44</v>
      </c>
      <c r="L55" s="14">
        <v>0.4</v>
      </c>
      <c r="M55" s="16">
        <v>0.4</v>
      </c>
      <c r="N55" s="15">
        <v>0.4</v>
      </c>
      <c r="O55" s="14">
        <v>0.35</v>
      </c>
      <c r="P55" s="16">
        <v>0.35</v>
      </c>
      <c r="Q55" s="25">
        <v>0.35</v>
      </c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 x14ac:dyDescent="0.2">
      <c r="A56" s="4"/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 x14ac:dyDescent="0.2">
      <c r="A57" s="4"/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 x14ac:dyDescent="0.2">
      <c r="A58" s="4"/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 x14ac:dyDescent="0.2">
      <c r="A59" s="4"/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 x14ac:dyDescent="0.2">
      <c r="A60" s="4"/>
      <c r="B60" s="27"/>
      <c r="C60" s="225"/>
      <c r="D60" s="225"/>
      <c r="E60" s="28" t="s">
        <v>17</v>
      </c>
      <c r="F60" s="29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1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 x14ac:dyDescent="0.2">
      <c r="A61" s="4"/>
      <c r="B61" s="42"/>
      <c r="C61" s="43"/>
      <c r="D61" s="43"/>
      <c r="E61" s="44" t="s">
        <v>18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 x14ac:dyDescent="0.2">
      <c r="A62" s="4"/>
      <c r="B62" s="35" t="s">
        <v>29</v>
      </c>
      <c r="C62" s="223" t="s">
        <v>8</v>
      </c>
      <c r="D62" s="223" t="s">
        <v>8</v>
      </c>
      <c r="E62" s="13" t="s">
        <v>9</v>
      </c>
      <c r="F62" s="52"/>
      <c r="G62" s="52"/>
      <c r="H62" s="53"/>
      <c r="I62" s="52"/>
      <c r="J62" s="54"/>
      <c r="K62" s="55"/>
      <c r="L62" s="52"/>
      <c r="M62" s="16"/>
      <c r="N62" s="17"/>
      <c r="O62" s="14"/>
      <c r="P62" s="16"/>
      <c r="Q62" s="18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 x14ac:dyDescent="0.2">
      <c r="A63" s="4"/>
      <c r="B63" s="19" t="s">
        <v>30</v>
      </c>
      <c r="C63" s="224"/>
      <c r="D63" s="224"/>
      <c r="E63" s="20" t="s">
        <v>11</v>
      </c>
      <c r="F63" s="56"/>
      <c r="G63" s="56"/>
      <c r="H63" s="57"/>
      <c r="I63" s="56"/>
      <c r="J63" s="58"/>
      <c r="K63" s="53"/>
      <c r="L63" s="56"/>
      <c r="M63" s="49"/>
      <c r="N63" s="15"/>
      <c r="O63" s="21"/>
      <c r="P63" s="49"/>
      <c r="Q63" s="2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 x14ac:dyDescent="0.2">
      <c r="A64" s="4"/>
      <c r="B64" s="23"/>
      <c r="C64" s="224"/>
      <c r="D64" s="224"/>
      <c r="E64" s="20" t="s">
        <v>12</v>
      </c>
      <c r="F64" s="56"/>
      <c r="G64" s="56"/>
      <c r="H64" s="57"/>
      <c r="I64" s="52"/>
      <c r="J64" s="54"/>
      <c r="K64" s="53"/>
      <c r="L64" s="52"/>
      <c r="M64" s="16"/>
      <c r="N64" s="15"/>
      <c r="O64" s="14"/>
      <c r="P64" s="16"/>
      <c r="Q64" s="2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 x14ac:dyDescent="0.2">
      <c r="A65" s="4"/>
      <c r="B65" s="23"/>
      <c r="C65" s="224"/>
      <c r="D65" s="224"/>
      <c r="E65" s="20" t="s">
        <v>13</v>
      </c>
      <c r="F65" s="56"/>
      <c r="G65" s="56"/>
      <c r="H65" s="57"/>
      <c r="I65" s="52"/>
      <c r="J65" s="54"/>
      <c r="K65" s="53"/>
      <c r="L65" s="52"/>
      <c r="M65" s="16"/>
      <c r="N65" s="15"/>
      <c r="O65" s="14"/>
      <c r="P65" s="16"/>
      <c r="Q65" s="2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 x14ac:dyDescent="0.2">
      <c r="A66" s="4"/>
      <c r="B66" s="23"/>
      <c r="C66" s="224"/>
      <c r="D66" s="224"/>
      <c r="E66" s="20" t="s">
        <v>14</v>
      </c>
      <c r="F66" s="56"/>
      <c r="G66" s="56"/>
      <c r="H66" s="57"/>
      <c r="I66" s="52"/>
      <c r="J66" s="54"/>
      <c r="K66" s="53"/>
      <c r="L66" s="52"/>
      <c r="M66" s="16"/>
      <c r="N66" s="15"/>
      <c r="O66" s="14"/>
      <c r="P66" s="16"/>
      <c r="Q66" s="2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 x14ac:dyDescent="0.2">
      <c r="A67" s="4"/>
      <c r="B67" s="23"/>
      <c r="C67" s="224"/>
      <c r="D67" s="224"/>
      <c r="E67" s="20" t="s">
        <v>15</v>
      </c>
      <c r="F67" s="56"/>
      <c r="G67" s="56"/>
      <c r="H67" s="57"/>
      <c r="I67" s="52"/>
      <c r="J67" s="54"/>
      <c r="K67" s="53"/>
      <c r="L67" s="52"/>
      <c r="M67" s="16"/>
      <c r="N67" s="15"/>
      <c r="O67" s="14"/>
      <c r="P67" s="16"/>
      <c r="Q67" s="2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 x14ac:dyDescent="0.2">
      <c r="A68" s="4"/>
      <c r="B68" s="23"/>
      <c r="C68" s="224"/>
      <c r="D68" s="224"/>
      <c r="E68" s="20" t="s">
        <v>16</v>
      </c>
      <c r="F68" s="56"/>
      <c r="G68" s="56"/>
      <c r="H68" s="57"/>
      <c r="I68" s="52"/>
      <c r="J68" s="54"/>
      <c r="K68" s="53"/>
      <c r="L68" s="52"/>
      <c r="M68" s="16"/>
      <c r="N68" s="15"/>
      <c r="O68" s="14"/>
      <c r="P68" s="16"/>
      <c r="Q68" s="2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 x14ac:dyDescent="0.2">
      <c r="A69" s="4"/>
      <c r="B69" s="27"/>
      <c r="C69" s="225"/>
      <c r="D69" s="225"/>
      <c r="E69" s="28" t="s">
        <v>17</v>
      </c>
      <c r="F69" s="59"/>
      <c r="G69" s="59"/>
      <c r="H69" s="59"/>
      <c r="I69" s="59"/>
      <c r="J69" s="59"/>
      <c r="K69" s="59"/>
      <c r="L69" s="59"/>
      <c r="M69" s="29"/>
      <c r="N69" s="29"/>
      <c r="O69" s="29"/>
      <c r="P69" s="29"/>
      <c r="Q69" s="30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 x14ac:dyDescent="0.2">
      <c r="A70" s="4"/>
      <c r="B70" s="31"/>
      <c r="C70" s="32"/>
      <c r="D70" s="32"/>
      <c r="E70" s="32" t="s">
        <v>18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4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 x14ac:dyDescent="0.2">
      <c r="A71" s="4"/>
      <c r="B71" s="11" t="s">
        <v>33</v>
      </c>
      <c r="C71" s="223" t="s">
        <v>8</v>
      </c>
      <c r="D71" s="223" t="s">
        <v>8</v>
      </c>
      <c r="E71" s="13" t="s">
        <v>9</v>
      </c>
      <c r="F71" s="14"/>
      <c r="G71" s="14"/>
      <c r="H71" s="15"/>
      <c r="I71" s="14"/>
      <c r="J71" s="16"/>
      <c r="K71" s="17"/>
      <c r="L71" s="14"/>
      <c r="M71" s="16"/>
      <c r="N71" s="17"/>
      <c r="O71" s="14"/>
      <c r="P71" s="16"/>
      <c r="Q71" s="18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 x14ac:dyDescent="0.2">
      <c r="A72" s="4"/>
      <c r="B72" s="19" t="s">
        <v>34</v>
      </c>
      <c r="C72" s="224"/>
      <c r="D72" s="224"/>
      <c r="E72" s="20" t="s">
        <v>11</v>
      </c>
      <c r="F72" s="21"/>
      <c r="G72" s="21"/>
      <c r="H72" s="24"/>
      <c r="I72" s="21"/>
      <c r="J72" s="49"/>
      <c r="K72" s="15"/>
      <c r="L72" s="21"/>
      <c r="M72" s="49"/>
      <c r="N72" s="15"/>
      <c r="O72" s="21"/>
      <c r="P72" s="49"/>
      <c r="Q72" s="2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 x14ac:dyDescent="0.2">
      <c r="A73" s="4"/>
      <c r="B73" s="23"/>
      <c r="C73" s="224"/>
      <c r="D73" s="224"/>
      <c r="E73" s="20" t="s">
        <v>12</v>
      </c>
      <c r="F73" s="21"/>
      <c r="G73" s="21"/>
      <c r="H73" s="24"/>
      <c r="I73" s="14"/>
      <c r="J73" s="16"/>
      <c r="K73" s="15"/>
      <c r="L73" s="14"/>
      <c r="M73" s="16"/>
      <c r="N73" s="15"/>
      <c r="O73" s="14"/>
      <c r="P73" s="16"/>
      <c r="Q73" s="2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 x14ac:dyDescent="0.2">
      <c r="A74" s="4"/>
      <c r="B74" s="23"/>
      <c r="C74" s="224"/>
      <c r="D74" s="224"/>
      <c r="E74" s="20" t="s">
        <v>13</v>
      </c>
      <c r="F74" s="21"/>
      <c r="G74" s="21"/>
      <c r="H74" s="21">
        <v>0.38600000000000001</v>
      </c>
      <c r="I74" s="14">
        <v>0.48599999999999999</v>
      </c>
      <c r="J74" s="14">
        <v>0.48599999999999999</v>
      </c>
      <c r="K74" s="14">
        <v>0.48599999999999999</v>
      </c>
      <c r="L74" s="14">
        <v>0.436</v>
      </c>
      <c r="M74" s="14">
        <v>0.436</v>
      </c>
      <c r="N74" s="14">
        <v>0.436</v>
      </c>
      <c r="O74" s="14">
        <v>0.4</v>
      </c>
      <c r="P74" s="16">
        <v>0.4</v>
      </c>
      <c r="Q74" s="25">
        <v>0.4</v>
      </c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 x14ac:dyDescent="0.2">
      <c r="A75" s="4"/>
      <c r="B75" s="23"/>
      <c r="C75" s="224"/>
      <c r="D75" s="224"/>
      <c r="E75" s="20" t="s">
        <v>14</v>
      </c>
      <c r="F75" s="21"/>
      <c r="G75" s="21"/>
      <c r="H75" s="24"/>
      <c r="I75" s="14"/>
      <c r="J75" s="16"/>
      <c r="K75" s="15"/>
      <c r="L75" s="14"/>
      <c r="M75" s="16"/>
      <c r="N75" s="15"/>
      <c r="O75" s="14"/>
      <c r="P75" s="16"/>
      <c r="Q75" s="2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 x14ac:dyDescent="0.2">
      <c r="A76" s="4"/>
      <c r="B76" s="23"/>
      <c r="C76" s="224"/>
      <c r="D76" s="224"/>
      <c r="E76" s="20" t="s">
        <v>15</v>
      </c>
      <c r="F76" s="21"/>
      <c r="G76" s="21"/>
      <c r="H76" s="24"/>
      <c r="I76" s="14"/>
      <c r="J76" s="16"/>
      <c r="K76" s="15"/>
      <c r="L76" s="14"/>
      <c r="M76" s="16"/>
      <c r="N76" s="15"/>
      <c r="O76" s="14"/>
      <c r="P76" s="16"/>
      <c r="Q76" s="2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 x14ac:dyDescent="0.2">
      <c r="A77" s="4"/>
      <c r="B77" s="23"/>
      <c r="C77" s="224"/>
      <c r="D77" s="224"/>
      <c r="E77" s="20" t="s">
        <v>16</v>
      </c>
      <c r="F77" s="21"/>
      <c r="G77" s="21"/>
      <c r="H77" s="24"/>
      <c r="I77" s="14"/>
      <c r="J77" s="16"/>
      <c r="K77" s="15"/>
      <c r="L77" s="14"/>
      <c r="M77" s="16"/>
      <c r="N77" s="15"/>
      <c r="O77" s="14"/>
      <c r="P77" s="16"/>
      <c r="Q77" s="2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 x14ac:dyDescent="0.2">
      <c r="A78" s="4"/>
      <c r="B78" s="27"/>
      <c r="C78" s="225"/>
      <c r="D78" s="225"/>
      <c r="E78" s="28" t="s">
        <v>17</v>
      </c>
      <c r="F78" s="29"/>
      <c r="G78" s="29"/>
      <c r="H78" s="29"/>
      <c r="I78" s="50"/>
      <c r="J78" s="50"/>
      <c r="K78" s="50"/>
      <c r="L78" s="50"/>
      <c r="M78" s="50"/>
      <c r="N78" s="50"/>
      <c r="O78" s="50"/>
      <c r="P78" s="50"/>
      <c r="Q78" s="51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 x14ac:dyDescent="0.2">
      <c r="A79" s="4"/>
      <c r="B79" s="42"/>
      <c r="C79" s="43"/>
      <c r="D79" s="43"/>
      <c r="E79" s="44" t="s">
        <v>18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6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 x14ac:dyDescent="0.2">
      <c r="A80" s="4"/>
      <c r="B80" s="11" t="s">
        <v>35</v>
      </c>
      <c r="C80" s="223" t="s">
        <v>8</v>
      </c>
      <c r="D80" s="223" t="s">
        <v>8</v>
      </c>
      <c r="E80" s="13" t="s">
        <v>9</v>
      </c>
      <c r="F80" s="14"/>
      <c r="G80" s="14"/>
      <c r="H80" s="15"/>
      <c r="I80" s="14"/>
      <c r="J80" s="16"/>
      <c r="K80" s="17"/>
      <c r="L80" s="14"/>
      <c r="M80" s="16"/>
      <c r="N80" s="17"/>
      <c r="O80" s="14"/>
      <c r="P80" s="16"/>
      <c r="Q80" s="18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 x14ac:dyDescent="0.2">
      <c r="A81" s="4"/>
      <c r="B81" s="19" t="s">
        <v>36</v>
      </c>
      <c r="C81" s="224"/>
      <c r="D81" s="224"/>
      <c r="E81" s="20" t="s">
        <v>11</v>
      </c>
      <c r="F81" s="21"/>
      <c r="G81" s="21"/>
      <c r="H81" s="24"/>
      <c r="I81" s="21"/>
      <c r="J81" s="49"/>
      <c r="K81" s="15"/>
      <c r="L81" s="21"/>
      <c r="M81" s="49"/>
      <c r="N81" s="15"/>
      <c r="O81" s="21"/>
      <c r="P81" s="49"/>
      <c r="Q81" s="2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 x14ac:dyDescent="0.2">
      <c r="A82" s="4"/>
      <c r="B82" s="23"/>
      <c r="C82" s="224"/>
      <c r="D82" s="224"/>
      <c r="E82" s="20" t="s">
        <v>12</v>
      </c>
      <c r="F82" s="21"/>
      <c r="G82" s="21"/>
      <c r="H82" s="24"/>
      <c r="I82" s="14"/>
      <c r="J82" s="16"/>
      <c r="K82" s="15"/>
      <c r="L82" s="14"/>
      <c r="M82" s="16"/>
      <c r="N82" s="15"/>
      <c r="O82" s="14"/>
      <c r="P82" s="16"/>
      <c r="Q82" s="2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">
      <c r="A83" s="4"/>
      <c r="B83" s="23"/>
      <c r="C83" s="224"/>
      <c r="D83" s="224"/>
      <c r="E83" s="20" t="s">
        <v>13</v>
      </c>
      <c r="F83" s="21"/>
      <c r="G83" s="21"/>
      <c r="H83" s="24"/>
      <c r="I83" s="14"/>
      <c r="J83" s="16"/>
      <c r="K83" s="15"/>
      <c r="L83" s="14"/>
      <c r="M83" s="16"/>
      <c r="N83" s="15"/>
      <c r="O83" s="14"/>
      <c r="P83" s="16"/>
      <c r="Q83" s="2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 x14ac:dyDescent="0.2">
      <c r="A84" s="4"/>
      <c r="B84" s="23"/>
      <c r="C84" s="224"/>
      <c r="D84" s="224"/>
      <c r="E84" s="20" t="s">
        <v>14</v>
      </c>
      <c r="F84" s="21"/>
      <c r="G84" s="21"/>
      <c r="H84" s="21">
        <v>0.67</v>
      </c>
      <c r="I84" s="14">
        <v>0.3</v>
      </c>
      <c r="J84" s="16">
        <v>0.3</v>
      </c>
      <c r="K84" s="15">
        <v>0.3</v>
      </c>
      <c r="L84" s="14">
        <v>0.36</v>
      </c>
      <c r="M84" s="16">
        <v>0.36</v>
      </c>
      <c r="N84" s="15">
        <v>0.36</v>
      </c>
      <c r="O84" s="14">
        <v>0.43</v>
      </c>
      <c r="P84" s="16">
        <v>0.43</v>
      </c>
      <c r="Q84" s="25">
        <v>0.43</v>
      </c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A85" s="4"/>
      <c r="B85" s="23"/>
      <c r="C85" s="224"/>
      <c r="D85" s="224"/>
      <c r="E85" s="20" t="s">
        <v>15</v>
      </c>
      <c r="F85" s="21"/>
      <c r="G85" s="21"/>
      <c r="H85" s="21"/>
      <c r="I85" s="14"/>
      <c r="J85" s="16"/>
      <c r="K85" s="15"/>
      <c r="L85" s="14"/>
      <c r="M85" s="16"/>
      <c r="N85" s="15"/>
      <c r="O85" s="14"/>
      <c r="P85" s="16"/>
      <c r="Q85" s="2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 x14ac:dyDescent="0.2">
      <c r="A86" s="4"/>
      <c r="B86" s="23"/>
      <c r="C86" s="224"/>
      <c r="D86" s="224"/>
      <c r="E86" s="20" t="s">
        <v>16</v>
      </c>
      <c r="F86" s="21"/>
      <c r="G86" s="21"/>
      <c r="H86" s="24"/>
      <c r="I86" s="14"/>
      <c r="J86" s="16"/>
      <c r="K86" s="15"/>
      <c r="L86" s="14"/>
      <c r="M86" s="16"/>
      <c r="N86" s="15"/>
      <c r="O86" s="14"/>
      <c r="P86" s="16"/>
      <c r="Q86" s="2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 x14ac:dyDescent="0.2">
      <c r="A87" s="4"/>
      <c r="B87" s="27"/>
      <c r="C87" s="225"/>
      <c r="D87" s="225"/>
      <c r="E87" s="28" t="s">
        <v>17</v>
      </c>
      <c r="F87" s="29"/>
      <c r="G87" s="29"/>
      <c r="H87" s="29"/>
      <c r="I87" s="50"/>
      <c r="J87" s="50"/>
      <c r="K87" s="50"/>
      <c r="L87" s="50"/>
      <c r="M87" s="50"/>
      <c r="N87" s="50"/>
      <c r="O87" s="50"/>
      <c r="P87" s="50"/>
      <c r="Q87" s="51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 x14ac:dyDescent="0.2">
      <c r="A88" s="4"/>
      <c r="B88" s="42"/>
      <c r="C88" s="43"/>
      <c r="D88" s="43"/>
      <c r="E88" s="44" t="s">
        <v>18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6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 x14ac:dyDescent="0.2">
      <c r="A89" s="4"/>
      <c r="B89" s="35" t="s">
        <v>56</v>
      </c>
      <c r="C89" s="223" t="s">
        <v>8</v>
      </c>
      <c r="D89" s="223" t="s">
        <v>8</v>
      </c>
      <c r="E89" s="36" t="s">
        <v>9</v>
      </c>
      <c r="F89" s="37"/>
      <c r="G89" s="37"/>
      <c r="H89" s="38"/>
      <c r="I89" s="37"/>
      <c r="J89" s="39"/>
      <c r="K89" s="40"/>
      <c r="L89" s="37"/>
      <c r="M89" s="39"/>
      <c r="N89" s="40"/>
      <c r="O89" s="37"/>
      <c r="P89" s="39"/>
      <c r="Q89" s="41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 x14ac:dyDescent="0.2">
      <c r="A90" s="4"/>
      <c r="B90" s="19" t="s">
        <v>57</v>
      </c>
      <c r="C90" s="224"/>
      <c r="D90" s="224"/>
      <c r="E90" s="20" t="s">
        <v>11</v>
      </c>
      <c r="F90" s="21"/>
      <c r="G90" s="21"/>
      <c r="H90" s="24"/>
      <c r="I90" s="21"/>
      <c r="J90" s="49"/>
      <c r="K90" s="15"/>
      <c r="L90" s="21"/>
      <c r="M90" s="49"/>
      <c r="N90" s="15"/>
      <c r="O90" s="21"/>
      <c r="P90" s="49"/>
      <c r="Q90" s="2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 x14ac:dyDescent="0.2">
      <c r="A91" s="4"/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 x14ac:dyDescent="0.2">
      <c r="A92" s="4"/>
      <c r="B92" s="23"/>
      <c r="C92" s="224"/>
      <c r="D92" s="224"/>
      <c r="E92" s="20" t="s">
        <v>13</v>
      </c>
      <c r="F92" s="21"/>
      <c r="G92" s="21"/>
      <c r="H92" s="24"/>
      <c r="I92" s="14"/>
      <c r="J92" s="16"/>
      <c r="K92" s="15"/>
      <c r="L92" s="14"/>
      <c r="M92" s="16"/>
      <c r="N92" s="15"/>
      <c r="O92" s="14"/>
      <c r="P92" s="16"/>
      <c r="Q92" s="2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 x14ac:dyDescent="0.2">
      <c r="A93" s="4"/>
      <c r="B93" s="23"/>
      <c r="C93" s="224"/>
      <c r="D93" s="224"/>
      <c r="E93" s="20" t="s">
        <v>14</v>
      </c>
      <c r="F93" s="21"/>
      <c r="G93" s="21"/>
      <c r="H93" s="24"/>
      <c r="I93" s="14"/>
      <c r="J93" s="16"/>
      <c r="K93" s="15"/>
      <c r="L93" s="14"/>
      <c r="M93" s="16"/>
      <c r="N93" s="15"/>
      <c r="O93" s="14"/>
      <c r="P93" s="16"/>
      <c r="Q93" s="2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 x14ac:dyDescent="0.2">
      <c r="A94" s="4"/>
      <c r="B94" s="23"/>
      <c r="C94" s="224"/>
      <c r="D94" s="224"/>
      <c r="E94" s="20" t="s">
        <v>15</v>
      </c>
      <c r="F94" s="21"/>
      <c r="G94" s="21"/>
      <c r="H94" s="24"/>
      <c r="I94" s="14"/>
      <c r="J94" s="16"/>
      <c r="K94" s="15"/>
      <c r="L94" s="14"/>
      <c r="M94" s="16"/>
      <c r="N94" s="15"/>
      <c r="O94" s="14"/>
      <c r="P94" s="16"/>
      <c r="Q94" s="2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 x14ac:dyDescent="0.2">
      <c r="A95" s="4"/>
      <c r="B95" s="23"/>
      <c r="C95" s="224"/>
      <c r="D95" s="224"/>
      <c r="E95" s="20" t="s">
        <v>16</v>
      </c>
      <c r="F95" s="21"/>
      <c r="G95" s="21"/>
      <c r="H95" s="24"/>
      <c r="I95" s="14"/>
      <c r="J95" s="16"/>
      <c r="K95" s="15"/>
      <c r="L95" s="14"/>
      <c r="M95" s="16"/>
      <c r="N95" s="15"/>
      <c r="O95" s="14"/>
      <c r="P95" s="16"/>
      <c r="Q95" s="2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 x14ac:dyDescent="0.2">
      <c r="A96" s="4"/>
      <c r="B96" s="27"/>
      <c r="C96" s="225"/>
      <c r="D96" s="225"/>
      <c r="E96" s="28" t="s">
        <v>17</v>
      </c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1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 x14ac:dyDescent="0.2">
      <c r="A97" s="4"/>
      <c r="B97" s="42"/>
      <c r="C97" s="43"/>
      <c r="D97" s="43"/>
      <c r="E97" s="44" t="s">
        <v>18</v>
      </c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6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 x14ac:dyDescent="0.2">
      <c r="A98" s="4"/>
      <c r="B98" s="35" t="s">
        <v>58</v>
      </c>
      <c r="C98" s="223" t="s">
        <v>8</v>
      </c>
      <c r="D98" s="223" t="s">
        <v>8</v>
      </c>
      <c r="E98" s="36" t="s">
        <v>9</v>
      </c>
      <c r="F98" s="37"/>
      <c r="G98" s="37"/>
      <c r="H98" s="38"/>
      <c r="I98" s="37"/>
      <c r="J98" s="39"/>
      <c r="K98" s="40"/>
      <c r="L98" s="37"/>
      <c r="M98" s="39"/>
      <c r="N98" s="40"/>
      <c r="O98" s="37"/>
      <c r="P98" s="39"/>
      <c r="Q98" s="41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 x14ac:dyDescent="0.2">
      <c r="A99" s="4"/>
      <c r="B99" s="19" t="s">
        <v>43</v>
      </c>
      <c r="C99" s="224"/>
      <c r="D99" s="224"/>
      <c r="E99" s="20" t="s">
        <v>11</v>
      </c>
      <c r="F99" s="21"/>
      <c r="G99" s="21"/>
      <c r="H99" s="24"/>
      <c r="I99" s="21"/>
      <c r="J99" s="49"/>
      <c r="K99" s="15"/>
      <c r="L99" s="21"/>
      <c r="M99" s="49"/>
      <c r="N99" s="15"/>
      <c r="O99" s="21"/>
      <c r="P99" s="49"/>
      <c r="Q99" s="2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 x14ac:dyDescent="0.2">
      <c r="A100" s="4"/>
      <c r="B100" s="23"/>
      <c r="C100" s="224"/>
      <c r="D100" s="224"/>
      <c r="E100" s="20" t="s">
        <v>12</v>
      </c>
      <c r="F100" s="21"/>
      <c r="G100" s="21"/>
      <c r="H100" s="24"/>
      <c r="I100" s="14"/>
      <c r="J100" s="16"/>
      <c r="K100" s="15"/>
      <c r="L100" s="14"/>
      <c r="M100" s="16"/>
      <c r="N100" s="15"/>
      <c r="O100" s="14"/>
      <c r="P100" s="16"/>
      <c r="Q100" s="2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 x14ac:dyDescent="0.2">
      <c r="A101" s="4"/>
      <c r="B101" s="23"/>
      <c r="C101" s="224"/>
      <c r="D101" s="224"/>
      <c r="E101" s="20" t="s">
        <v>13</v>
      </c>
      <c r="F101" s="21"/>
      <c r="G101" s="21"/>
      <c r="H101" s="24"/>
      <c r="I101" s="14"/>
      <c r="J101" s="16"/>
      <c r="K101" s="15"/>
      <c r="L101" s="14"/>
      <c r="M101" s="16"/>
      <c r="N101" s="15"/>
      <c r="O101" s="14"/>
      <c r="P101" s="16"/>
      <c r="Q101" s="2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 x14ac:dyDescent="0.2">
      <c r="A102" s="4"/>
      <c r="B102" s="23"/>
      <c r="C102" s="224"/>
      <c r="D102" s="224"/>
      <c r="E102" s="20" t="s">
        <v>14</v>
      </c>
      <c r="F102" s="21"/>
      <c r="G102" s="21"/>
      <c r="H102" s="24"/>
      <c r="I102" s="14"/>
      <c r="J102" s="16"/>
      <c r="K102" s="15"/>
      <c r="L102" s="14"/>
      <c r="M102" s="16"/>
      <c r="N102" s="15"/>
      <c r="O102" s="14"/>
      <c r="P102" s="16"/>
      <c r="Q102" s="2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 x14ac:dyDescent="0.2">
      <c r="A103" s="4"/>
      <c r="B103" s="23"/>
      <c r="C103" s="224"/>
      <c r="D103" s="224"/>
      <c r="E103" s="20" t="s">
        <v>15</v>
      </c>
      <c r="F103" s="21"/>
      <c r="G103" s="21"/>
      <c r="H103" s="24"/>
      <c r="I103" s="14"/>
      <c r="J103" s="16"/>
      <c r="K103" s="15"/>
      <c r="L103" s="14"/>
      <c r="M103" s="16"/>
      <c r="N103" s="15"/>
      <c r="O103" s="14"/>
      <c r="P103" s="16"/>
      <c r="Q103" s="2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A104" s="4"/>
      <c r="B104" s="23"/>
      <c r="C104" s="224"/>
      <c r="D104" s="224"/>
      <c r="E104" s="20" t="s">
        <v>16</v>
      </c>
      <c r="F104" s="21">
        <v>0.1</v>
      </c>
      <c r="G104" s="21">
        <v>0.1</v>
      </c>
      <c r="H104" s="24"/>
      <c r="I104" s="14"/>
      <c r="J104" s="16"/>
      <c r="K104" s="15">
        <v>0.1</v>
      </c>
      <c r="L104" s="14">
        <v>0.1</v>
      </c>
      <c r="M104" s="16">
        <v>0.1</v>
      </c>
      <c r="N104" s="15"/>
      <c r="O104" s="14"/>
      <c r="P104" s="16"/>
      <c r="Q104" s="2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 x14ac:dyDescent="0.2">
      <c r="A105" s="4"/>
      <c r="B105" s="27"/>
      <c r="C105" s="225"/>
      <c r="D105" s="225"/>
      <c r="E105" s="28" t="s">
        <v>17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A106" s="4"/>
      <c r="B106" s="42"/>
      <c r="C106" s="43"/>
      <c r="D106" s="43"/>
      <c r="E106" s="44" t="s">
        <v>18</v>
      </c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8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 x14ac:dyDescent="0.2">
      <c r="A107" s="5"/>
      <c r="B107" s="35" t="s">
        <v>59</v>
      </c>
      <c r="C107" s="223" t="s">
        <v>8</v>
      </c>
      <c r="D107" s="223" t="s">
        <v>8</v>
      </c>
      <c r="E107" s="36" t="s">
        <v>9</v>
      </c>
      <c r="F107" s="37"/>
      <c r="G107" s="37"/>
      <c r="H107" s="38"/>
      <c r="I107" s="37"/>
      <c r="J107" s="39"/>
      <c r="K107" s="40"/>
      <c r="L107" s="37"/>
      <c r="M107" s="39"/>
      <c r="N107" s="40"/>
      <c r="O107" s="37"/>
      <c r="P107" s="39"/>
      <c r="Q107" s="41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 x14ac:dyDescent="0.2">
      <c r="A108" s="5"/>
      <c r="B108" s="19" t="s">
        <v>60</v>
      </c>
      <c r="C108" s="224"/>
      <c r="D108" s="224"/>
      <c r="E108" s="20" t="s">
        <v>11</v>
      </c>
      <c r="F108" s="21"/>
      <c r="G108" s="21"/>
      <c r="H108" s="24"/>
      <c r="I108" s="21"/>
      <c r="J108" s="49"/>
      <c r="K108" s="15"/>
      <c r="L108" s="21"/>
      <c r="M108" s="49"/>
      <c r="N108" s="15"/>
      <c r="O108" s="21"/>
      <c r="P108" s="49"/>
      <c r="Q108" s="2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 x14ac:dyDescent="0.2">
      <c r="A109" s="5"/>
      <c r="B109" s="23"/>
      <c r="C109" s="224"/>
      <c r="D109" s="224"/>
      <c r="E109" s="20" t="s">
        <v>12</v>
      </c>
      <c r="F109" s="21"/>
      <c r="G109" s="21"/>
      <c r="H109" s="24"/>
      <c r="I109" s="14"/>
      <c r="J109" s="16"/>
      <c r="K109" s="15"/>
      <c r="L109" s="14"/>
      <c r="M109" s="16"/>
      <c r="N109" s="15"/>
      <c r="O109" s="14"/>
      <c r="P109" s="16"/>
      <c r="Q109" s="2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 x14ac:dyDescent="0.2">
      <c r="A110" s="5"/>
      <c r="B110" s="23"/>
      <c r="C110" s="224"/>
      <c r="D110" s="224"/>
      <c r="E110" s="20" t="s">
        <v>13</v>
      </c>
      <c r="F110" s="21"/>
      <c r="G110" s="21"/>
      <c r="H110" s="24"/>
      <c r="I110" s="14"/>
      <c r="J110" s="16"/>
      <c r="K110" s="15"/>
      <c r="L110" s="14"/>
      <c r="M110" s="16"/>
      <c r="N110" s="15"/>
      <c r="O110" s="14"/>
      <c r="P110" s="16"/>
      <c r="Q110" s="2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 x14ac:dyDescent="0.2">
      <c r="A111" s="5"/>
      <c r="B111" s="23"/>
      <c r="C111" s="224"/>
      <c r="D111" s="224"/>
      <c r="E111" s="20" t="s">
        <v>14</v>
      </c>
      <c r="F111" s="21"/>
      <c r="G111" s="21"/>
      <c r="H111" s="24"/>
      <c r="I111" s="14"/>
      <c r="J111" s="16"/>
      <c r="K111" s="15"/>
      <c r="L111" s="14"/>
      <c r="M111" s="16"/>
      <c r="N111" s="15"/>
      <c r="O111" s="14"/>
      <c r="P111" s="16"/>
      <c r="Q111" s="2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 x14ac:dyDescent="0.2">
      <c r="A112" s="5"/>
      <c r="B112" s="23"/>
      <c r="C112" s="224"/>
      <c r="D112" s="224"/>
      <c r="E112" s="20" t="s">
        <v>15</v>
      </c>
      <c r="F112" s="21"/>
      <c r="G112" s="21"/>
      <c r="H112" s="24"/>
      <c r="I112" s="14"/>
      <c r="J112" s="16"/>
      <c r="K112" s="15"/>
      <c r="L112" s="14"/>
      <c r="M112" s="16"/>
      <c r="N112" s="15"/>
      <c r="O112" s="14"/>
      <c r="P112" s="16"/>
      <c r="Q112" s="2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 x14ac:dyDescent="0.2">
      <c r="A113" s="5"/>
      <c r="B113" s="23"/>
      <c r="C113" s="224"/>
      <c r="D113" s="224"/>
      <c r="E113" s="20" t="s">
        <v>16</v>
      </c>
      <c r="F113" s="21"/>
      <c r="G113" s="21"/>
      <c r="H113" s="24"/>
      <c r="I113" s="14"/>
      <c r="J113" s="16"/>
      <c r="K113" s="15"/>
      <c r="L113" s="14"/>
      <c r="M113" s="16"/>
      <c r="N113" s="15"/>
      <c r="O113" s="14"/>
      <c r="P113" s="16"/>
      <c r="Q113" s="2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 x14ac:dyDescent="0.2">
      <c r="A114" s="5"/>
      <c r="B114" s="27"/>
      <c r="C114" s="225"/>
      <c r="D114" s="225"/>
      <c r="E114" s="28" t="s">
        <v>17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0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 x14ac:dyDescent="0.2">
      <c r="A115" s="5"/>
      <c r="B115" s="42"/>
      <c r="C115" s="43"/>
      <c r="D115" s="43"/>
      <c r="E115" s="44" t="s">
        <v>18</v>
      </c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8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 x14ac:dyDescent="0.2">
      <c r="A116" s="5"/>
      <c r="B116" s="35" t="s">
        <v>41</v>
      </c>
      <c r="C116" s="223" t="s">
        <v>8</v>
      </c>
      <c r="D116" s="223" t="s">
        <v>8</v>
      </c>
      <c r="E116" s="36" t="s">
        <v>9</v>
      </c>
      <c r="F116" s="37"/>
      <c r="G116" s="37"/>
      <c r="H116" s="38"/>
      <c r="I116" s="37"/>
      <c r="J116" s="39"/>
      <c r="K116" s="40"/>
      <c r="L116" s="37"/>
      <c r="M116" s="39"/>
      <c r="N116" s="40"/>
      <c r="O116" s="37"/>
      <c r="P116" s="39"/>
      <c r="Q116" s="41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 x14ac:dyDescent="0.2">
      <c r="A117" s="5"/>
      <c r="B117" s="19" t="s">
        <v>43</v>
      </c>
      <c r="C117" s="224"/>
      <c r="D117" s="224"/>
      <c r="E117" s="20" t="s">
        <v>11</v>
      </c>
      <c r="F117" s="21"/>
      <c r="G117" s="21"/>
      <c r="H117" s="24"/>
      <c r="I117" s="21"/>
      <c r="J117" s="49"/>
      <c r="K117" s="15"/>
      <c r="L117" s="21"/>
      <c r="M117" s="49"/>
      <c r="N117" s="15"/>
      <c r="O117" s="21"/>
      <c r="P117" s="49"/>
      <c r="Q117" s="2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 x14ac:dyDescent="0.2">
      <c r="A118" s="5"/>
      <c r="B118" s="23"/>
      <c r="C118" s="224"/>
      <c r="D118" s="224"/>
      <c r="E118" s="20" t="s">
        <v>12</v>
      </c>
      <c r="F118" s="21"/>
      <c r="G118" s="21"/>
      <c r="H118" s="24"/>
      <c r="I118" s="14"/>
      <c r="J118" s="16"/>
      <c r="K118" s="15"/>
      <c r="L118" s="14"/>
      <c r="M118" s="16"/>
      <c r="N118" s="15"/>
      <c r="O118" s="14"/>
      <c r="P118" s="16"/>
      <c r="Q118" s="2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 x14ac:dyDescent="0.2">
      <c r="A119" s="5"/>
      <c r="B119" s="23"/>
      <c r="C119" s="224"/>
      <c r="D119" s="224"/>
      <c r="E119" s="20" t="s">
        <v>13</v>
      </c>
      <c r="F119" s="21"/>
      <c r="G119" s="21"/>
      <c r="H119" s="24"/>
      <c r="I119" s="14"/>
      <c r="J119" s="16"/>
      <c r="K119" s="15"/>
      <c r="L119" s="14"/>
      <c r="M119" s="16"/>
      <c r="N119" s="15"/>
      <c r="O119" s="14"/>
      <c r="P119" s="16"/>
      <c r="Q119" s="2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A120" s="5"/>
      <c r="B120" s="23"/>
      <c r="C120" s="224"/>
      <c r="D120" s="224"/>
      <c r="E120" s="20" t="s">
        <v>14</v>
      </c>
      <c r="F120" s="21"/>
      <c r="G120" s="21"/>
      <c r="H120" s="24"/>
      <c r="I120" s="14"/>
      <c r="J120" s="16"/>
      <c r="K120" s="15"/>
      <c r="L120" s="14"/>
      <c r="M120" s="16"/>
      <c r="N120" s="15"/>
      <c r="O120" s="14"/>
      <c r="P120" s="16"/>
      <c r="Q120" s="2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 x14ac:dyDescent="0.2">
      <c r="A121" s="5"/>
      <c r="B121" s="23"/>
      <c r="C121" s="224"/>
      <c r="D121" s="224"/>
      <c r="E121" s="20" t="s">
        <v>15</v>
      </c>
      <c r="F121" s="21"/>
      <c r="G121" s="21"/>
      <c r="H121" s="24"/>
      <c r="I121" s="14"/>
      <c r="J121" s="16"/>
      <c r="K121" s="15"/>
      <c r="L121" s="14"/>
      <c r="M121" s="16"/>
      <c r="N121" s="15"/>
      <c r="O121" s="14"/>
      <c r="P121" s="16"/>
      <c r="Q121" s="2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 x14ac:dyDescent="0.2">
      <c r="A122" s="5"/>
      <c r="B122" s="23"/>
      <c r="C122" s="224"/>
      <c r="D122" s="224"/>
      <c r="E122" s="20" t="s">
        <v>16</v>
      </c>
      <c r="F122" s="21">
        <v>0.2</v>
      </c>
      <c r="G122" s="21">
        <v>0.2</v>
      </c>
      <c r="H122" s="24">
        <v>0.1</v>
      </c>
      <c r="I122" s="14">
        <v>0.1</v>
      </c>
      <c r="J122" s="16">
        <v>0.2</v>
      </c>
      <c r="K122" s="15">
        <v>0.2</v>
      </c>
      <c r="L122" s="14">
        <v>0.2</v>
      </c>
      <c r="M122" s="16">
        <v>0.2</v>
      </c>
      <c r="N122" s="15">
        <v>0.1</v>
      </c>
      <c r="O122" s="14">
        <v>0.1</v>
      </c>
      <c r="P122" s="16">
        <v>0.2</v>
      </c>
      <c r="Q122" s="25">
        <v>0.2</v>
      </c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 x14ac:dyDescent="0.2">
      <c r="A123" s="5"/>
      <c r="B123" s="27"/>
      <c r="C123" s="225"/>
      <c r="D123" s="225"/>
      <c r="E123" s="28" t="s">
        <v>17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0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 x14ac:dyDescent="0.2">
      <c r="A124" s="5"/>
      <c r="B124" s="42"/>
      <c r="C124" s="43"/>
      <c r="D124" s="43"/>
      <c r="E124" s="44" t="s">
        <v>18</v>
      </c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8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A125" s="5"/>
      <c r="B125" s="35" t="s">
        <v>61</v>
      </c>
      <c r="C125" s="223" t="s">
        <v>8</v>
      </c>
      <c r="D125" s="223" t="s">
        <v>8</v>
      </c>
      <c r="E125" s="36" t="s">
        <v>9</v>
      </c>
      <c r="F125" s="37"/>
      <c r="G125" s="37"/>
      <c r="H125" s="38"/>
      <c r="I125" s="37"/>
      <c r="J125" s="39"/>
      <c r="K125" s="40"/>
      <c r="L125" s="37"/>
      <c r="M125" s="39"/>
      <c r="N125" s="40"/>
      <c r="O125" s="37"/>
      <c r="P125" s="39"/>
      <c r="Q125" s="4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 x14ac:dyDescent="0.2">
      <c r="A126" s="5"/>
      <c r="B126" s="19" t="s">
        <v>62</v>
      </c>
      <c r="C126" s="224"/>
      <c r="D126" s="224"/>
      <c r="E126" s="20" t="s">
        <v>11</v>
      </c>
      <c r="F126" s="21"/>
      <c r="G126" s="21"/>
      <c r="H126" s="24"/>
      <c r="I126" s="21"/>
      <c r="J126" s="49"/>
      <c r="K126" s="15"/>
      <c r="L126" s="21"/>
      <c r="M126" s="49"/>
      <c r="N126" s="15"/>
      <c r="O126" s="21"/>
      <c r="P126" s="49"/>
      <c r="Q126" s="2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 x14ac:dyDescent="0.2">
      <c r="A127" s="5"/>
      <c r="B127" s="23"/>
      <c r="C127" s="224"/>
      <c r="D127" s="224"/>
      <c r="E127" s="20" t="s">
        <v>12</v>
      </c>
      <c r="F127" s="21"/>
      <c r="G127" s="21"/>
      <c r="H127" s="24"/>
      <c r="I127" s="14"/>
      <c r="J127" s="16"/>
      <c r="K127" s="15"/>
      <c r="L127" s="14"/>
      <c r="M127" s="16"/>
      <c r="N127" s="15"/>
      <c r="O127" s="14"/>
      <c r="P127" s="16"/>
      <c r="Q127" s="2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 x14ac:dyDescent="0.2">
      <c r="A128" s="5"/>
      <c r="B128" s="23"/>
      <c r="C128" s="224"/>
      <c r="D128" s="224"/>
      <c r="E128" s="20" t="s">
        <v>13</v>
      </c>
      <c r="F128" s="21"/>
      <c r="G128" s="21"/>
      <c r="H128" s="24"/>
      <c r="I128" s="14"/>
      <c r="J128" s="16"/>
      <c r="K128" s="15"/>
      <c r="L128" s="14"/>
      <c r="M128" s="16"/>
      <c r="N128" s="15"/>
      <c r="O128" s="14"/>
      <c r="P128" s="16"/>
      <c r="Q128" s="2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 x14ac:dyDescent="0.2">
      <c r="A129" s="5"/>
      <c r="B129" s="23"/>
      <c r="C129" s="224"/>
      <c r="D129" s="224"/>
      <c r="E129" s="20" t="s">
        <v>14</v>
      </c>
      <c r="F129" s="21"/>
      <c r="G129" s="21"/>
      <c r="H129" s="24"/>
      <c r="I129" s="14"/>
      <c r="J129" s="16"/>
      <c r="K129" s="15"/>
      <c r="L129" s="14"/>
      <c r="M129" s="16"/>
      <c r="N129" s="15"/>
      <c r="O129" s="14"/>
      <c r="P129" s="16"/>
      <c r="Q129" s="2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 x14ac:dyDescent="0.2">
      <c r="A130" s="5"/>
      <c r="B130" s="23"/>
      <c r="C130" s="224"/>
      <c r="D130" s="224"/>
      <c r="E130" s="20" t="s">
        <v>15</v>
      </c>
      <c r="F130" s="21"/>
      <c r="G130" s="21"/>
      <c r="H130" s="24"/>
      <c r="I130" s="14"/>
      <c r="J130" s="16"/>
      <c r="K130" s="15"/>
      <c r="L130" s="14"/>
      <c r="M130" s="16"/>
      <c r="N130" s="15"/>
      <c r="O130" s="14"/>
      <c r="P130" s="16"/>
      <c r="Q130" s="2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 x14ac:dyDescent="0.2">
      <c r="A131" s="5"/>
      <c r="B131" s="23"/>
      <c r="C131" s="224"/>
      <c r="D131" s="224"/>
      <c r="E131" s="20" t="s">
        <v>16</v>
      </c>
      <c r="F131" s="21">
        <v>0.1</v>
      </c>
      <c r="G131" s="21">
        <v>0.1</v>
      </c>
      <c r="H131" s="24">
        <v>0.05</v>
      </c>
      <c r="I131" s="14">
        <v>0.05</v>
      </c>
      <c r="J131" s="16">
        <v>0.1</v>
      </c>
      <c r="K131" s="15">
        <v>0.1</v>
      </c>
      <c r="L131" s="14">
        <v>0.1</v>
      </c>
      <c r="M131" s="16">
        <v>0.1</v>
      </c>
      <c r="N131" s="15">
        <v>0.05</v>
      </c>
      <c r="O131" s="14">
        <v>0.05</v>
      </c>
      <c r="P131" s="16">
        <v>0.1</v>
      </c>
      <c r="Q131" s="25">
        <v>0.1</v>
      </c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 x14ac:dyDescent="0.2">
      <c r="A132" s="5"/>
      <c r="B132" s="27"/>
      <c r="C132" s="225"/>
      <c r="D132" s="225"/>
      <c r="E132" s="28" t="s">
        <v>17</v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0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 x14ac:dyDescent="0.2">
      <c r="A133" s="5"/>
      <c r="B133" s="42"/>
      <c r="C133" s="43"/>
      <c r="D133" s="43"/>
      <c r="E133" s="44" t="s">
        <v>18</v>
      </c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8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 x14ac:dyDescent="0.2">
      <c r="A134" s="4"/>
      <c r="B134" s="35" t="s">
        <v>63</v>
      </c>
      <c r="C134" s="223" t="s">
        <v>8</v>
      </c>
      <c r="D134" s="223" t="s">
        <v>8</v>
      </c>
      <c r="E134" s="36" t="s">
        <v>9</v>
      </c>
      <c r="F134" s="37"/>
      <c r="G134" s="37"/>
      <c r="H134" s="38"/>
      <c r="I134" s="37"/>
      <c r="J134" s="39"/>
      <c r="K134" s="40"/>
      <c r="L134" s="37"/>
      <c r="M134" s="39"/>
      <c r="N134" s="40"/>
      <c r="O134" s="37"/>
      <c r="P134" s="39"/>
      <c r="Q134" s="41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 x14ac:dyDescent="0.2">
      <c r="A135" s="4"/>
      <c r="B135" s="19" t="s">
        <v>60</v>
      </c>
      <c r="C135" s="224"/>
      <c r="D135" s="224"/>
      <c r="E135" s="20" t="s">
        <v>11</v>
      </c>
      <c r="F135" s="21"/>
      <c r="G135" s="21"/>
      <c r="H135" s="24"/>
      <c r="I135" s="21"/>
      <c r="J135" s="49"/>
      <c r="K135" s="15"/>
      <c r="L135" s="21"/>
      <c r="M135" s="49"/>
      <c r="N135" s="15"/>
      <c r="O135" s="21"/>
      <c r="P135" s="49"/>
      <c r="Q135" s="2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 x14ac:dyDescent="0.2">
      <c r="A136" s="4"/>
      <c r="B136" s="23"/>
      <c r="C136" s="224"/>
      <c r="D136" s="224"/>
      <c r="E136" s="20" t="s">
        <v>12</v>
      </c>
      <c r="F136" s="21"/>
      <c r="G136" s="21"/>
      <c r="H136" s="24"/>
      <c r="I136" s="14"/>
      <c r="J136" s="16"/>
      <c r="K136" s="15"/>
      <c r="L136" s="14"/>
      <c r="M136" s="16"/>
      <c r="N136" s="15"/>
      <c r="O136" s="14"/>
      <c r="P136" s="16"/>
      <c r="Q136" s="2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 x14ac:dyDescent="0.2">
      <c r="A137" s="4"/>
      <c r="B137" s="23"/>
      <c r="C137" s="224"/>
      <c r="D137" s="224"/>
      <c r="E137" s="20" t="s">
        <v>13</v>
      </c>
      <c r="F137" s="21"/>
      <c r="G137" s="21"/>
      <c r="H137" s="24"/>
      <c r="I137" s="14"/>
      <c r="J137" s="16"/>
      <c r="K137" s="15"/>
      <c r="L137" s="14"/>
      <c r="M137" s="16"/>
      <c r="N137" s="15"/>
      <c r="O137" s="14"/>
      <c r="P137" s="16"/>
      <c r="Q137" s="2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 x14ac:dyDescent="0.2">
      <c r="A138" s="4"/>
      <c r="B138" s="23"/>
      <c r="C138" s="224"/>
      <c r="D138" s="224"/>
      <c r="E138" s="20" t="s">
        <v>14</v>
      </c>
      <c r="F138" s="21"/>
      <c r="G138" s="21"/>
      <c r="H138" s="24"/>
      <c r="I138" s="14"/>
      <c r="J138" s="16"/>
      <c r="K138" s="15"/>
      <c r="L138" s="14"/>
      <c r="M138" s="16"/>
      <c r="N138" s="15"/>
      <c r="O138" s="14"/>
      <c r="P138" s="16"/>
      <c r="Q138" s="2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 x14ac:dyDescent="0.2">
      <c r="A139" s="4"/>
      <c r="B139" s="23"/>
      <c r="C139" s="224"/>
      <c r="D139" s="224"/>
      <c r="E139" s="20" t="s">
        <v>15</v>
      </c>
      <c r="F139" s="21"/>
      <c r="G139" s="21"/>
      <c r="H139" s="24"/>
      <c r="I139" s="14"/>
      <c r="J139" s="16"/>
      <c r="K139" s="15"/>
      <c r="L139" s="14"/>
      <c r="M139" s="16"/>
      <c r="N139" s="15"/>
      <c r="O139" s="14"/>
      <c r="P139" s="16"/>
      <c r="Q139" s="2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 x14ac:dyDescent="0.2">
      <c r="A140" s="4"/>
      <c r="B140" s="23"/>
      <c r="C140" s="224"/>
      <c r="D140" s="224"/>
      <c r="E140" s="20" t="s">
        <v>16</v>
      </c>
      <c r="F140" s="21">
        <v>0.15</v>
      </c>
      <c r="G140" s="21">
        <v>0.15</v>
      </c>
      <c r="H140" s="24">
        <v>0.15</v>
      </c>
      <c r="I140" s="14">
        <v>0.1</v>
      </c>
      <c r="J140" s="16">
        <v>0.1</v>
      </c>
      <c r="K140" s="15">
        <v>0.15</v>
      </c>
      <c r="L140" s="14">
        <v>0.15</v>
      </c>
      <c r="M140" s="16">
        <v>0.15</v>
      </c>
      <c r="N140" s="15">
        <v>0.15</v>
      </c>
      <c r="O140" s="14">
        <v>0.1</v>
      </c>
      <c r="P140" s="16">
        <v>0.15</v>
      </c>
      <c r="Q140" s="25">
        <v>0.15</v>
      </c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 x14ac:dyDescent="0.2">
      <c r="A141" s="4"/>
      <c r="B141" s="27"/>
      <c r="C141" s="225"/>
      <c r="D141" s="225"/>
      <c r="E141" s="28" t="s">
        <v>17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30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 x14ac:dyDescent="0.2">
      <c r="A142" s="4"/>
      <c r="B142" s="42"/>
      <c r="C142" s="43"/>
      <c r="D142" s="43"/>
      <c r="E142" s="44" t="s">
        <v>18</v>
      </c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8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 x14ac:dyDescent="0.2">
      <c r="A143" s="4"/>
      <c r="B143" s="35" t="s">
        <v>37</v>
      </c>
      <c r="C143" s="223" t="s">
        <v>38</v>
      </c>
      <c r="D143" s="223" t="s">
        <v>38</v>
      </c>
      <c r="E143" s="36" t="s">
        <v>9</v>
      </c>
      <c r="F143" s="37"/>
      <c r="G143" s="37"/>
      <c r="H143" s="38"/>
      <c r="I143" s="37"/>
      <c r="J143" s="39"/>
      <c r="K143" s="40"/>
      <c r="L143" s="37"/>
      <c r="M143" s="39"/>
      <c r="N143" s="40"/>
      <c r="O143" s="37"/>
      <c r="P143" s="39"/>
      <c r="Q143" s="41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 x14ac:dyDescent="0.2">
      <c r="A144" s="4"/>
      <c r="B144" s="19" t="s">
        <v>34</v>
      </c>
      <c r="C144" s="224"/>
      <c r="D144" s="224"/>
      <c r="E144" s="20" t="s">
        <v>11</v>
      </c>
      <c r="F144" s="21"/>
      <c r="G144" s="21"/>
      <c r="H144" s="24"/>
      <c r="I144" s="21"/>
      <c r="J144" s="49"/>
      <c r="K144" s="15"/>
      <c r="L144" s="21"/>
      <c r="M144" s="49"/>
      <c r="N144" s="15"/>
      <c r="O144" s="21"/>
      <c r="P144" s="49"/>
      <c r="Q144" s="2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 x14ac:dyDescent="0.2">
      <c r="A145" s="4"/>
      <c r="B145" s="23"/>
      <c r="C145" s="224"/>
      <c r="D145" s="224"/>
      <c r="E145" s="20" t="s">
        <v>12</v>
      </c>
      <c r="F145" s="21"/>
      <c r="G145" s="21"/>
      <c r="H145" s="24"/>
      <c r="I145" s="14"/>
      <c r="J145" s="16"/>
      <c r="K145" s="15"/>
      <c r="L145" s="14"/>
      <c r="M145" s="16"/>
      <c r="N145" s="15"/>
      <c r="O145" s="14"/>
      <c r="P145" s="16"/>
      <c r="Q145" s="2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 x14ac:dyDescent="0.2">
      <c r="A146" s="4"/>
      <c r="B146" s="23"/>
      <c r="C146" s="224"/>
      <c r="D146" s="224"/>
      <c r="E146" s="20" t="s">
        <v>13</v>
      </c>
      <c r="F146" s="21"/>
      <c r="G146" s="21"/>
      <c r="H146" s="21">
        <v>0.45</v>
      </c>
      <c r="I146" s="14">
        <v>0.15</v>
      </c>
      <c r="J146" s="14">
        <v>0.15</v>
      </c>
      <c r="K146" s="14">
        <v>0.15</v>
      </c>
      <c r="L146" s="14">
        <v>0.2</v>
      </c>
      <c r="M146" s="14">
        <v>0.2</v>
      </c>
      <c r="N146" s="14">
        <v>0.2</v>
      </c>
      <c r="O146" s="14">
        <v>0.4</v>
      </c>
      <c r="P146" s="14">
        <v>0.4</v>
      </c>
      <c r="Q146" s="14">
        <v>0.4</v>
      </c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 x14ac:dyDescent="0.2">
      <c r="A147" s="4"/>
      <c r="B147" s="23"/>
      <c r="C147" s="224"/>
      <c r="D147" s="224"/>
      <c r="E147" s="20" t="s">
        <v>14</v>
      </c>
      <c r="F147" s="21"/>
      <c r="G147" s="21"/>
      <c r="H147" s="24"/>
      <c r="I147" s="14"/>
      <c r="J147" s="16"/>
      <c r="K147" s="15"/>
      <c r="L147" s="14"/>
      <c r="M147" s="16"/>
      <c r="N147" s="15"/>
      <c r="O147" s="14"/>
      <c r="P147" s="16"/>
      <c r="Q147" s="2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 x14ac:dyDescent="0.2">
      <c r="A148" s="4"/>
      <c r="B148" s="23"/>
      <c r="C148" s="224"/>
      <c r="D148" s="224"/>
      <c r="E148" s="20" t="s">
        <v>15</v>
      </c>
      <c r="F148" s="21"/>
      <c r="G148" s="21"/>
      <c r="H148" s="24"/>
      <c r="I148" s="14"/>
      <c r="J148" s="16"/>
      <c r="K148" s="15"/>
      <c r="L148" s="14"/>
      <c r="M148" s="16"/>
      <c r="N148" s="15"/>
      <c r="O148" s="14"/>
      <c r="P148" s="16"/>
      <c r="Q148" s="2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 x14ac:dyDescent="0.2">
      <c r="A149" s="4"/>
      <c r="B149" s="23"/>
      <c r="C149" s="224"/>
      <c r="D149" s="224"/>
      <c r="E149" s="20" t="s">
        <v>16</v>
      </c>
      <c r="F149" s="21"/>
      <c r="G149" s="21"/>
      <c r="H149" s="24"/>
      <c r="I149" s="14"/>
      <c r="J149" s="16"/>
      <c r="K149" s="15"/>
      <c r="L149" s="14"/>
      <c r="M149" s="16"/>
      <c r="N149" s="15"/>
      <c r="O149" s="14"/>
      <c r="P149" s="16"/>
      <c r="Q149" s="2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 x14ac:dyDescent="0.2">
      <c r="A150" s="4"/>
      <c r="B150" s="27"/>
      <c r="C150" s="225"/>
      <c r="D150" s="225"/>
      <c r="E150" s="28" t="s">
        <v>17</v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30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 x14ac:dyDescent="0.2">
      <c r="A151" s="4"/>
      <c r="B151" s="42"/>
      <c r="C151" s="43"/>
      <c r="D151" s="43"/>
      <c r="E151" s="44" t="s">
        <v>18</v>
      </c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6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 x14ac:dyDescent="0.2">
      <c r="A152" s="4"/>
      <c r="B152" s="35" t="s">
        <v>39</v>
      </c>
      <c r="C152" s="223" t="s">
        <v>38</v>
      </c>
      <c r="D152" s="223" t="s">
        <v>38</v>
      </c>
      <c r="E152" s="36" t="s">
        <v>9</v>
      </c>
      <c r="F152" s="38"/>
      <c r="G152" s="37"/>
      <c r="H152" s="38"/>
      <c r="I152" s="37"/>
      <c r="J152" s="39"/>
      <c r="K152" s="40"/>
      <c r="L152" s="37"/>
      <c r="M152" s="39"/>
      <c r="N152" s="40"/>
      <c r="O152" s="37"/>
      <c r="P152" s="39"/>
      <c r="Q152" s="41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 x14ac:dyDescent="0.2">
      <c r="A153" s="4"/>
      <c r="B153" s="19" t="s">
        <v>34</v>
      </c>
      <c r="C153" s="224"/>
      <c r="D153" s="224"/>
      <c r="E153" s="20" t="s">
        <v>11</v>
      </c>
      <c r="F153" s="24"/>
      <c r="G153" s="21"/>
      <c r="H153" s="24"/>
      <c r="I153" s="21"/>
      <c r="J153" s="49"/>
      <c r="K153" s="15"/>
      <c r="L153" s="21"/>
      <c r="M153" s="49"/>
      <c r="N153" s="15"/>
      <c r="O153" s="21"/>
      <c r="P153" s="49"/>
      <c r="Q153" s="2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 x14ac:dyDescent="0.2">
      <c r="A154" s="4"/>
      <c r="B154" s="23"/>
      <c r="C154" s="224"/>
      <c r="D154" s="224"/>
      <c r="E154" s="20" t="s">
        <v>12</v>
      </c>
      <c r="F154" s="24"/>
      <c r="G154" s="21"/>
      <c r="H154" s="24"/>
      <c r="I154" s="14"/>
      <c r="J154" s="16"/>
      <c r="K154" s="15"/>
      <c r="L154" s="14"/>
      <c r="M154" s="16"/>
      <c r="N154" s="15"/>
      <c r="O154" s="14"/>
      <c r="P154" s="16"/>
      <c r="Q154" s="2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 x14ac:dyDescent="0.2">
      <c r="A155" s="4"/>
      <c r="B155" s="23"/>
      <c r="C155" s="224"/>
      <c r="D155" s="224"/>
      <c r="E155" s="20" t="s">
        <v>13</v>
      </c>
      <c r="F155" s="24"/>
      <c r="G155" s="24"/>
      <c r="H155" s="24">
        <v>0.43</v>
      </c>
      <c r="I155" s="24">
        <v>0.27</v>
      </c>
      <c r="J155" s="24">
        <v>0.27</v>
      </c>
      <c r="K155" s="24">
        <v>0.27</v>
      </c>
      <c r="L155" s="24">
        <v>0.18</v>
      </c>
      <c r="M155" s="24">
        <v>0.18</v>
      </c>
      <c r="N155" s="24">
        <v>0.18</v>
      </c>
      <c r="O155" s="24">
        <v>0.25</v>
      </c>
      <c r="P155" s="24">
        <v>0.25</v>
      </c>
      <c r="Q155" s="22">
        <v>0.25</v>
      </c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 x14ac:dyDescent="0.2">
      <c r="A156" s="4"/>
      <c r="B156" s="23"/>
      <c r="C156" s="224"/>
      <c r="D156" s="224"/>
      <c r="E156" s="20" t="s">
        <v>14</v>
      </c>
      <c r="F156" s="24"/>
      <c r="G156" s="21"/>
      <c r="H156" s="24"/>
      <c r="I156" s="14"/>
      <c r="J156" s="16"/>
      <c r="K156" s="15"/>
      <c r="L156" s="14"/>
      <c r="M156" s="16"/>
      <c r="N156" s="15"/>
      <c r="O156" s="14"/>
      <c r="P156" s="16"/>
      <c r="Q156" s="2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 x14ac:dyDescent="0.2">
      <c r="A157" s="4"/>
      <c r="B157" s="23"/>
      <c r="C157" s="224"/>
      <c r="D157" s="224"/>
      <c r="E157" s="20" t="s">
        <v>15</v>
      </c>
      <c r="F157" s="24"/>
      <c r="G157" s="21"/>
      <c r="H157" s="24"/>
      <c r="I157" s="14"/>
      <c r="J157" s="16"/>
      <c r="K157" s="15"/>
      <c r="L157" s="14"/>
      <c r="M157" s="16"/>
      <c r="N157" s="15"/>
      <c r="O157" s="14"/>
      <c r="P157" s="16"/>
      <c r="Q157" s="2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 x14ac:dyDescent="0.2">
      <c r="A158" s="4"/>
      <c r="B158" s="23"/>
      <c r="C158" s="224"/>
      <c r="D158" s="224"/>
      <c r="E158" s="20" t="s">
        <v>16</v>
      </c>
      <c r="F158" s="24"/>
      <c r="G158" s="21"/>
      <c r="H158" s="24"/>
      <c r="I158" s="14"/>
      <c r="J158" s="16"/>
      <c r="K158" s="15"/>
      <c r="L158" s="14"/>
      <c r="M158" s="16"/>
      <c r="N158" s="15"/>
      <c r="O158" s="14"/>
      <c r="P158" s="16"/>
      <c r="Q158" s="2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 x14ac:dyDescent="0.2">
      <c r="A159" s="4"/>
      <c r="B159" s="27"/>
      <c r="C159" s="225"/>
      <c r="D159" s="225"/>
      <c r="E159" s="28" t="s">
        <v>17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0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 x14ac:dyDescent="0.2">
      <c r="A160" s="4"/>
      <c r="B160" s="42"/>
      <c r="C160" s="43"/>
      <c r="D160" s="43"/>
      <c r="E160" s="44" t="s">
        <v>18</v>
      </c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6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 x14ac:dyDescent="0.2">
      <c r="A161" s="4"/>
      <c r="B161" s="35" t="s">
        <v>40</v>
      </c>
      <c r="C161" s="223" t="s">
        <v>38</v>
      </c>
      <c r="D161" s="223" t="s">
        <v>38</v>
      </c>
      <c r="E161" s="36" t="s">
        <v>9</v>
      </c>
      <c r="F161" s="37"/>
      <c r="G161" s="37"/>
      <c r="H161" s="38"/>
      <c r="I161" s="37"/>
      <c r="J161" s="39"/>
      <c r="K161" s="40"/>
      <c r="L161" s="37"/>
      <c r="M161" s="39"/>
      <c r="N161" s="40"/>
      <c r="O161" s="37"/>
      <c r="P161" s="39"/>
      <c r="Q161" s="41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 x14ac:dyDescent="0.2">
      <c r="A162" s="4"/>
      <c r="B162" s="19" t="s">
        <v>34</v>
      </c>
      <c r="C162" s="224"/>
      <c r="D162" s="224"/>
      <c r="E162" s="20" t="s">
        <v>11</v>
      </c>
      <c r="F162" s="21"/>
      <c r="G162" s="21"/>
      <c r="H162" s="24"/>
      <c r="I162" s="21"/>
      <c r="J162" s="49"/>
      <c r="K162" s="15"/>
      <c r="L162" s="21"/>
      <c r="M162" s="49"/>
      <c r="N162" s="15"/>
      <c r="O162" s="21"/>
      <c r="P162" s="49"/>
      <c r="Q162" s="2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 x14ac:dyDescent="0.2">
      <c r="A163" s="4"/>
      <c r="B163" s="23"/>
      <c r="C163" s="224"/>
      <c r="D163" s="224"/>
      <c r="E163" s="20" t="s">
        <v>12</v>
      </c>
      <c r="F163" s="21"/>
      <c r="G163" s="21"/>
      <c r="H163" s="24"/>
      <c r="I163" s="14"/>
      <c r="J163" s="16"/>
      <c r="K163" s="15"/>
      <c r="L163" s="14"/>
      <c r="M163" s="16"/>
      <c r="N163" s="15"/>
      <c r="O163" s="14"/>
      <c r="P163" s="16"/>
      <c r="Q163" s="2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 x14ac:dyDescent="0.2">
      <c r="A164" s="4"/>
      <c r="B164" s="23"/>
      <c r="C164" s="224"/>
      <c r="D164" s="224"/>
      <c r="E164" s="20" t="s">
        <v>13</v>
      </c>
      <c r="F164" s="21"/>
      <c r="G164" s="21"/>
      <c r="H164" s="24">
        <v>0.443</v>
      </c>
      <c r="I164" s="14">
        <v>0.376</v>
      </c>
      <c r="J164" s="16">
        <v>0.376</v>
      </c>
      <c r="K164" s="15">
        <v>0.376</v>
      </c>
      <c r="L164" s="14">
        <v>0.30880000000000002</v>
      </c>
      <c r="M164" s="16">
        <v>0.308</v>
      </c>
      <c r="N164" s="15">
        <v>0.308</v>
      </c>
      <c r="O164" s="14">
        <v>0.45</v>
      </c>
      <c r="P164" s="14">
        <v>0.45</v>
      </c>
      <c r="Q164" s="14">
        <v>0.45</v>
      </c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 x14ac:dyDescent="0.2">
      <c r="A165" s="4"/>
      <c r="B165" s="23"/>
      <c r="C165" s="224"/>
      <c r="D165" s="224"/>
      <c r="E165" s="20" t="s">
        <v>14</v>
      </c>
      <c r="F165" s="21"/>
      <c r="G165" s="21"/>
      <c r="H165" s="24"/>
      <c r="I165" s="14"/>
      <c r="J165" s="16"/>
      <c r="K165" s="15"/>
      <c r="L165" s="14"/>
      <c r="M165" s="16"/>
      <c r="N165" s="15"/>
      <c r="O165" s="14"/>
      <c r="P165" s="16"/>
      <c r="Q165" s="2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 x14ac:dyDescent="0.2">
      <c r="A166" s="4"/>
      <c r="B166" s="23"/>
      <c r="C166" s="224"/>
      <c r="D166" s="224"/>
      <c r="E166" s="20" t="s">
        <v>15</v>
      </c>
      <c r="F166" s="21"/>
      <c r="G166" s="21"/>
      <c r="H166" s="24"/>
      <c r="I166" s="14"/>
      <c r="J166" s="16"/>
      <c r="K166" s="15"/>
      <c r="L166" s="14"/>
      <c r="M166" s="16"/>
      <c r="N166" s="15"/>
      <c r="O166" s="14"/>
      <c r="P166" s="16"/>
      <c r="Q166" s="2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 x14ac:dyDescent="0.2">
      <c r="A167" s="4"/>
      <c r="B167" s="23"/>
      <c r="C167" s="224"/>
      <c r="D167" s="224"/>
      <c r="E167" s="20" t="s">
        <v>16</v>
      </c>
      <c r="F167" s="21"/>
      <c r="G167" s="21"/>
      <c r="H167" s="24"/>
      <c r="I167" s="14"/>
      <c r="J167" s="16"/>
      <c r="K167" s="15"/>
      <c r="L167" s="14"/>
      <c r="M167" s="16"/>
      <c r="N167" s="15"/>
      <c r="O167" s="14"/>
      <c r="P167" s="16"/>
      <c r="Q167" s="2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 x14ac:dyDescent="0.2">
      <c r="A168" s="4"/>
      <c r="B168" s="27"/>
      <c r="C168" s="225"/>
      <c r="D168" s="225"/>
      <c r="E168" s="28" t="s">
        <v>17</v>
      </c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30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 x14ac:dyDescent="0.2">
      <c r="A169" s="4"/>
      <c r="B169" s="42"/>
      <c r="C169" s="43"/>
      <c r="D169" s="43"/>
      <c r="E169" s="44" t="s">
        <v>18</v>
      </c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6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 x14ac:dyDescent="0.2">
      <c r="A170" s="4"/>
      <c r="B170" s="35" t="s">
        <v>64</v>
      </c>
      <c r="C170" s="223" t="s">
        <v>38</v>
      </c>
      <c r="D170" s="223" t="s">
        <v>38</v>
      </c>
      <c r="E170" s="36" t="s">
        <v>9</v>
      </c>
      <c r="F170" s="37"/>
      <c r="G170" s="37"/>
      <c r="H170" s="38"/>
      <c r="I170" s="37"/>
      <c r="J170" s="39"/>
      <c r="K170" s="40"/>
      <c r="L170" s="37"/>
      <c r="M170" s="39"/>
      <c r="N170" s="40"/>
      <c r="O170" s="37"/>
      <c r="P170" s="39"/>
      <c r="Q170" s="41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 x14ac:dyDescent="0.2">
      <c r="A171" s="4"/>
      <c r="B171" s="19" t="s">
        <v>62</v>
      </c>
      <c r="C171" s="224"/>
      <c r="D171" s="224"/>
      <c r="E171" s="20" t="s">
        <v>11</v>
      </c>
      <c r="F171" s="21">
        <v>0.3</v>
      </c>
      <c r="G171" s="21">
        <v>0.3</v>
      </c>
      <c r="H171" s="21">
        <v>0.3</v>
      </c>
      <c r="I171" s="21">
        <v>0.3</v>
      </c>
      <c r="J171" s="21">
        <v>0.3</v>
      </c>
      <c r="K171" s="21">
        <v>0.3</v>
      </c>
      <c r="L171" s="21">
        <v>0.3</v>
      </c>
      <c r="M171" s="21">
        <v>0.3</v>
      </c>
      <c r="N171" s="21">
        <v>0.3</v>
      </c>
      <c r="O171" s="21">
        <v>0.3</v>
      </c>
      <c r="P171" s="21">
        <v>0.3</v>
      </c>
      <c r="Q171" s="21">
        <v>0.3</v>
      </c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 x14ac:dyDescent="0.2">
      <c r="A172" s="4"/>
      <c r="B172" s="23" t="s">
        <v>65</v>
      </c>
      <c r="C172" s="224"/>
      <c r="D172" s="224"/>
      <c r="E172" s="20" t="s">
        <v>12</v>
      </c>
      <c r="F172" s="21"/>
      <c r="G172" s="21"/>
      <c r="H172" s="24"/>
      <c r="I172" s="14"/>
      <c r="J172" s="16"/>
      <c r="K172" s="15"/>
      <c r="L172" s="14"/>
      <c r="M172" s="16"/>
      <c r="N172" s="15"/>
      <c r="O172" s="14"/>
      <c r="P172" s="16"/>
      <c r="Q172" s="2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 x14ac:dyDescent="0.2">
      <c r="A173" s="4"/>
      <c r="B173" s="23"/>
      <c r="C173" s="224"/>
      <c r="D173" s="224"/>
      <c r="E173" s="20" t="s">
        <v>13</v>
      </c>
      <c r="F173" s="21"/>
      <c r="G173" s="21"/>
      <c r="H173" s="24"/>
      <c r="I173" s="14"/>
      <c r="J173" s="16"/>
      <c r="K173" s="15"/>
      <c r="L173" s="14"/>
      <c r="M173" s="16"/>
      <c r="N173" s="15"/>
      <c r="O173" s="14"/>
      <c r="P173" s="16"/>
      <c r="Q173" s="2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 x14ac:dyDescent="0.2">
      <c r="A174" s="4"/>
      <c r="B174" s="23"/>
      <c r="C174" s="224"/>
      <c r="D174" s="224"/>
      <c r="E174" s="20" t="s">
        <v>14</v>
      </c>
      <c r="F174" s="21"/>
      <c r="G174" s="21"/>
      <c r="H174" s="24"/>
      <c r="I174" s="14"/>
      <c r="J174" s="16"/>
      <c r="K174" s="15"/>
      <c r="L174" s="14"/>
      <c r="M174" s="16"/>
      <c r="N174" s="15"/>
      <c r="O174" s="14"/>
      <c r="P174" s="16"/>
      <c r="Q174" s="2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 x14ac:dyDescent="0.2">
      <c r="A175" s="4"/>
      <c r="B175" s="23"/>
      <c r="C175" s="224"/>
      <c r="D175" s="224"/>
      <c r="E175" s="20" t="s">
        <v>15</v>
      </c>
      <c r="F175" s="21"/>
      <c r="G175" s="21"/>
      <c r="H175" s="24"/>
      <c r="I175" s="14"/>
      <c r="J175" s="16"/>
      <c r="K175" s="15"/>
      <c r="L175" s="14"/>
      <c r="M175" s="16"/>
      <c r="N175" s="15"/>
      <c r="O175" s="14"/>
      <c r="P175" s="16"/>
      <c r="Q175" s="2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 x14ac:dyDescent="0.2">
      <c r="A176" s="4"/>
      <c r="B176" s="23"/>
      <c r="C176" s="224"/>
      <c r="D176" s="224"/>
      <c r="E176" s="20" t="s">
        <v>16</v>
      </c>
      <c r="F176" s="21"/>
      <c r="G176" s="21"/>
      <c r="H176" s="24"/>
      <c r="I176" s="14"/>
      <c r="J176" s="16"/>
      <c r="K176" s="15"/>
      <c r="L176" s="14"/>
      <c r="M176" s="16"/>
      <c r="N176" s="15"/>
      <c r="O176" s="14"/>
      <c r="P176" s="16"/>
      <c r="Q176" s="2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 x14ac:dyDescent="0.2">
      <c r="A177" s="4"/>
      <c r="B177" s="27"/>
      <c r="C177" s="225"/>
      <c r="D177" s="225"/>
      <c r="E177" s="28" t="s">
        <v>17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30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 x14ac:dyDescent="0.2">
      <c r="A178" s="4"/>
      <c r="B178" s="42"/>
      <c r="C178" s="43"/>
      <c r="D178" s="43"/>
      <c r="E178" s="44" t="s">
        <v>18</v>
      </c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8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 x14ac:dyDescent="0.2">
      <c r="A179" s="4"/>
      <c r="B179" s="35" t="s">
        <v>66</v>
      </c>
      <c r="C179" s="223" t="s">
        <v>38</v>
      </c>
      <c r="D179" s="223" t="s">
        <v>38</v>
      </c>
      <c r="E179" s="36" t="s">
        <v>9</v>
      </c>
      <c r="F179" s="37"/>
      <c r="G179" s="37"/>
      <c r="H179" s="38"/>
      <c r="I179" s="37"/>
      <c r="J179" s="39"/>
      <c r="K179" s="40"/>
      <c r="L179" s="37"/>
      <c r="M179" s="39"/>
      <c r="N179" s="40"/>
      <c r="O179" s="37"/>
      <c r="P179" s="39"/>
      <c r="Q179" s="41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 x14ac:dyDescent="0.2">
      <c r="A180" s="4"/>
      <c r="B180" s="19" t="s">
        <v>47</v>
      </c>
      <c r="C180" s="224"/>
      <c r="D180" s="224"/>
      <c r="E180" s="20" t="s">
        <v>11</v>
      </c>
      <c r="F180" s="21"/>
      <c r="G180" s="21"/>
      <c r="H180" s="24"/>
      <c r="I180" s="21"/>
      <c r="J180" s="49"/>
      <c r="K180" s="15"/>
      <c r="L180" s="21"/>
      <c r="M180" s="49"/>
      <c r="N180" s="15"/>
      <c r="O180" s="21"/>
      <c r="P180" s="49"/>
      <c r="Q180" s="2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 x14ac:dyDescent="0.2">
      <c r="A181" s="4"/>
      <c r="B181" s="23"/>
      <c r="C181" s="224"/>
      <c r="D181" s="224"/>
      <c r="E181" s="20" t="s">
        <v>12</v>
      </c>
      <c r="F181" s="21"/>
      <c r="G181" s="21"/>
      <c r="H181" s="24"/>
      <c r="I181" s="14"/>
      <c r="J181" s="16"/>
      <c r="K181" s="15"/>
      <c r="L181" s="14">
        <v>0.38</v>
      </c>
      <c r="M181" s="16">
        <v>0.38</v>
      </c>
      <c r="N181" s="15">
        <v>0.38</v>
      </c>
      <c r="O181" s="14">
        <v>0.4</v>
      </c>
      <c r="P181" s="14">
        <v>0.4</v>
      </c>
      <c r="Q181" s="14">
        <v>0.4</v>
      </c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 x14ac:dyDescent="0.2">
      <c r="A182" s="4"/>
      <c r="B182" s="23"/>
      <c r="C182" s="224"/>
      <c r="D182" s="224"/>
      <c r="E182" s="20" t="s">
        <v>13</v>
      </c>
      <c r="F182" s="21"/>
      <c r="G182" s="21"/>
      <c r="H182" s="24"/>
      <c r="I182" s="14"/>
      <c r="J182" s="16"/>
      <c r="K182" s="15"/>
      <c r="L182" s="14"/>
      <c r="M182" s="16"/>
      <c r="N182" s="15"/>
      <c r="O182" s="14"/>
      <c r="P182" s="16"/>
      <c r="Q182" s="2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 x14ac:dyDescent="0.2">
      <c r="A183" s="4"/>
      <c r="B183" s="23"/>
      <c r="C183" s="224"/>
      <c r="D183" s="224"/>
      <c r="E183" s="20" t="s">
        <v>14</v>
      </c>
      <c r="F183" s="21"/>
      <c r="G183" s="21"/>
      <c r="H183" s="24"/>
      <c r="I183" s="14"/>
      <c r="J183" s="16"/>
      <c r="K183" s="15"/>
      <c r="L183" s="14"/>
      <c r="M183" s="16"/>
      <c r="N183" s="15"/>
      <c r="O183" s="14"/>
      <c r="P183" s="16"/>
      <c r="Q183" s="2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 x14ac:dyDescent="0.2">
      <c r="A184" s="4"/>
      <c r="B184" s="23"/>
      <c r="C184" s="224"/>
      <c r="D184" s="224"/>
      <c r="E184" s="20" t="s">
        <v>15</v>
      </c>
      <c r="F184" s="21"/>
      <c r="G184" s="21"/>
      <c r="H184" s="24"/>
      <c r="I184" s="14"/>
      <c r="J184" s="16"/>
      <c r="K184" s="15"/>
      <c r="L184" s="14"/>
      <c r="M184" s="16"/>
      <c r="N184" s="15"/>
      <c r="O184" s="14"/>
      <c r="P184" s="16"/>
      <c r="Q184" s="2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 x14ac:dyDescent="0.2">
      <c r="A185" s="4"/>
      <c r="B185" s="23"/>
      <c r="C185" s="224"/>
      <c r="D185" s="224"/>
      <c r="E185" s="20" t="s">
        <v>16</v>
      </c>
      <c r="F185" s="21"/>
      <c r="G185" s="21"/>
      <c r="H185" s="24"/>
      <c r="I185" s="14"/>
      <c r="J185" s="16"/>
      <c r="K185" s="15"/>
      <c r="L185" s="14"/>
      <c r="M185" s="16"/>
      <c r="N185" s="15"/>
      <c r="O185" s="14"/>
      <c r="P185" s="16"/>
      <c r="Q185" s="2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 x14ac:dyDescent="0.2">
      <c r="A186" s="4"/>
      <c r="B186" s="27"/>
      <c r="C186" s="225"/>
      <c r="D186" s="225"/>
      <c r="E186" s="28" t="s">
        <v>17</v>
      </c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30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 x14ac:dyDescent="0.2">
      <c r="A187" s="4"/>
      <c r="B187" s="42"/>
      <c r="C187" s="43"/>
      <c r="D187" s="43"/>
      <c r="E187" s="44" t="s">
        <v>18</v>
      </c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8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 x14ac:dyDescent="0.2">
      <c r="A188" s="4"/>
      <c r="B188" s="35" t="s">
        <v>48</v>
      </c>
      <c r="C188" s="223" t="s">
        <v>67</v>
      </c>
      <c r="D188" s="223" t="s">
        <v>38</v>
      </c>
      <c r="E188" s="36" t="s">
        <v>9</v>
      </c>
      <c r="F188" s="37"/>
      <c r="G188" s="37"/>
      <c r="H188" s="38"/>
      <c r="I188" s="37"/>
      <c r="J188" s="39"/>
      <c r="K188" s="40"/>
      <c r="L188" s="37"/>
      <c r="M188" s="39"/>
      <c r="N188" s="40"/>
      <c r="O188" s="37"/>
      <c r="P188" s="39"/>
      <c r="Q188" s="41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 x14ac:dyDescent="0.2">
      <c r="A189" s="4"/>
      <c r="B189" s="19" t="s">
        <v>68</v>
      </c>
      <c r="C189" s="224"/>
      <c r="D189" s="224"/>
      <c r="E189" s="20" t="s">
        <v>11</v>
      </c>
      <c r="F189" s="21"/>
      <c r="G189" s="21"/>
      <c r="H189" s="24"/>
      <c r="I189" s="21"/>
      <c r="J189" s="49"/>
      <c r="K189" s="15"/>
      <c r="L189" s="21"/>
      <c r="M189" s="49"/>
      <c r="N189" s="15"/>
      <c r="O189" s="21"/>
      <c r="P189" s="49"/>
      <c r="Q189" s="2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 x14ac:dyDescent="0.2">
      <c r="A190" s="4"/>
      <c r="B190" s="23"/>
      <c r="C190" s="224"/>
      <c r="D190" s="224"/>
      <c r="E190" s="20" t="s">
        <v>12</v>
      </c>
      <c r="F190" s="21"/>
      <c r="G190" s="21"/>
      <c r="H190" s="24"/>
      <c r="I190" s="14"/>
      <c r="J190" s="16"/>
      <c r="K190" s="15"/>
      <c r="L190" s="14"/>
      <c r="M190" s="16"/>
      <c r="N190" s="15"/>
      <c r="O190" s="14"/>
      <c r="P190" s="16"/>
      <c r="Q190" s="2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 x14ac:dyDescent="0.2">
      <c r="A191" s="4"/>
      <c r="B191" s="23"/>
      <c r="C191" s="224"/>
      <c r="D191" s="224"/>
      <c r="E191" s="20" t="s">
        <v>13</v>
      </c>
      <c r="F191" s="21"/>
      <c r="G191" s="21"/>
      <c r="H191" s="24"/>
      <c r="I191" s="14"/>
      <c r="J191" s="16"/>
      <c r="K191" s="15"/>
      <c r="L191" s="14"/>
      <c r="M191" s="16"/>
      <c r="N191" s="15"/>
      <c r="O191" s="14"/>
      <c r="P191" s="16"/>
      <c r="Q191" s="2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 x14ac:dyDescent="0.2">
      <c r="A192" s="4"/>
      <c r="B192" s="23"/>
      <c r="C192" s="224"/>
      <c r="D192" s="224"/>
      <c r="E192" s="20" t="s">
        <v>14</v>
      </c>
      <c r="F192" s="21">
        <v>0.3</v>
      </c>
      <c r="G192" s="21">
        <v>0.3</v>
      </c>
      <c r="H192" s="24">
        <v>0.3</v>
      </c>
      <c r="I192" s="24">
        <v>0.2</v>
      </c>
      <c r="J192" s="24">
        <v>0.2</v>
      </c>
      <c r="K192" s="24">
        <v>0.2</v>
      </c>
      <c r="L192" s="24"/>
      <c r="M192" s="24"/>
      <c r="N192" s="24"/>
      <c r="O192" s="24"/>
      <c r="P192" s="24"/>
      <c r="Q192" s="22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 x14ac:dyDescent="0.2">
      <c r="A193" s="4"/>
      <c r="B193" s="23"/>
      <c r="C193" s="224"/>
      <c r="D193" s="224"/>
      <c r="E193" s="20" t="s">
        <v>15</v>
      </c>
      <c r="F193" s="21"/>
      <c r="G193" s="21"/>
      <c r="H193" s="24"/>
      <c r="I193" s="14"/>
      <c r="J193" s="16"/>
      <c r="K193" s="15"/>
      <c r="L193" s="14"/>
      <c r="M193" s="16"/>
      <c r="N193" s="15"/>
      <c r="O193" s="14"/>
      <c r="P193" s="16"/>
      <c r="Q193" s="2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 x14ac:dyDescent="0.2">
      <c r="A194" s="4"/>
      <c r="B194" s="23"/>
      <c r="C194" s="224"/>
      <c r="D194" s="224"/>
      <c r="E194" s="20" t="s">
        <v>16</v>
      </c>
      <c r="F194" s="21"/>
      <c r="G194" s="21"/>
      <c r="H194" s="24"/>
      <c r="I194" s="14"/>
      <c r="J194" s="16"/>
      <c r="K194" s="15"/>
      <c r="L194" s="14"/>
      <c r="M194" s="16"/>
      <c r="N194" s="15"/>
      <c r="O194" s="14"/>
      <c r="P194" s="16"/>
      <c r="Q194" s="2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 x14ac:dyDescent="0.2">
      <c r="A195" s="4"/>
      <c r="B195" s="27"/>
      <c r="C195" s="225"/>
      <c r="D195" s="225"/>
      <c r="E195" s="28" t="s">
        <v>17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30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 x14ac:dyDescent="0.2">
      <c r="A196" s="4"/>
      <c r="B196" s="42"/>
      <c r="C196" s="43"/>
      <c r="D196" s="43"/>
      <c r="E196" s="44" t="s">
        <v>18</v>
      </c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6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 x14ac:dyDescent="0.2">
      <c r="A197" s="4"/>
      <c r="B197" s="35" t="s">
        <v>50</v>
      </c>
      <c r="C197" s="223" t="s">
        <v>38</v>
      </c>
      <c r="D197" s="223" t="s">
        <v>38</v>
      </c>
      <c r="E197" s="36" t="s">
        <v>9</v>
      </c>
      <c r="F197" s="60"/>
      <c r="G197" s="60"/>
      <c r="H197" s="79"/>
      <c r="I197" s="60"/>
      <c r="J197" s="80"/>
      <c r="K197" s="81"/>
      <c r="L197" s="60"/>
      <c r="M197" s="80"/>
      <c r="N197" s="81"/>
      <c r="O197" s="60"/>
      <c r="P197" s="80"/>
      <c r="Q197" s="41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 x14ac:dyDescent="0.2">
      <c r="A198" s="4"/>
      <c r="B198" s="19" t="s">
        <v>34</v>
      </c>
      <c r="C198" s="224"/>
      <c r="D198" s="224"/>
      <c r="E198" s="20" t="s">
        <v>11</v>
      </c>
      <c r="F198" s="56"/>
      <c r="G198" s="56"/>
      <c r="H198" s="57"/>
      <c r="I198" s="56"/>
      <c r="J198" s="58"/>
      <c r="K198" s="53"/>
      <c r="L198" s="56"/>
      <c r="M198" s="58"/>
      <c r="N198" s="53"/>
      <c r="O198" s="56"/>
      <c r="P198" s="58"/>
      <c r="Q198" s="2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 x14ac:dyDescent="0.2">
      <c r="A199" s="4"/>
      <c r="B199" s="23"/>
      <c r="C199" s="224"/>
      <c r="D199" s="224"/>
      <c r="E199" s="20" t="s">
        <v>12</v>
      </c>
      <c r="F199" s="56"/>
      <c r="G199" s="56"/>
      <c r="H199" s="57"/>
      <c r="I199" s="52"/>
      <c r="J199" s="54"/>
      <c r="K199" s="53"/>
      <c r="L199" s="52"/>
      <c r="M199" s="54"/>
      <c r="N199" s="53"/>
      <c r="O199" s="52"/>
      <c r="P199" s="54"/>
      <c r="Q199" s="2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 x14ac:dyDescent="0.2">
      <c r="A200" s="4"/>
      <c r="B200" s="23"/>
      <c r="C200" s="224"/>
      <c r="D200" s="224"/>
      <c r="E200" s="20" t="s">
        <v>13</v>
      </c>
      <c r="F200" s="56">
        <v>0.47299999999999998</v>
      </c>
      <c r="G200" s="56">
        <v>0.47</v>
      </c>
      <c r="H200" s="57">
        <v>0.47</v>
      </c>
      <c r="I200" s="52">
        <v>0.22800000000000001</v>
      </c>
      <c r="J200" s="54">
        <v>0.22800000000000001</v>
      </c>
      <c r="K200" s="53">
        <v>0.22800000000000001</v>
      </c>
      <c r="L200" s="52">
        <v>0.47099999999999997</v>
      </c>
      <c r="M200" s="54">
        <v>0.47099999999999997</v>
      </c>
      <c r="N200" s="53">
        <v>0.47099999999999997</v>
      </c>
      <c r="O200" s="52"/>
      <c r="P200" s="54"/>
      <c r="Q200" s="2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 x14ac:dyDescent="0.2">
      <c r="A201" s="4"/>
      <c r="B201" s="23"/>
      <c r="C201" s="224"/>
      <c r="D201" s="224"/>
      <c r="E201" s="20" t="s">
        <v>14</v>
      </c>
      <c r="F201" s="56"/>
      <c r="G201" s="56"/>
      <c r="H201" s="57"/>
      <c r="I201" s="52"/>
      <c r="J201" s="54"/>
      <c r="K201" s="53"/>
      <c r="L201" s="52"/>
      <c r="M201" s="54"/>
      <c r="N201" s="53"/>
      <c r="O201" s="52"/>
      <c r="P201" s="54"/>
      <c r="Q201" s="2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 x14ac:dyDescent="0.2">
      <c r="A202" s="4"/>
      <c r="B202" s="23"/>
      <c r="C202" s="224"/>
      <c r="D202" s="224"/>
      <c r="E202" s="20" t="s">
        <v>15</v>
      </c>
      <c r="F202" s="56"/>
      <c r="G202" s="56"/>
      <c r="H202" s="57"/>
      <c r="I202" s="52"/>
      <c r="J202" s="54"/>
      <c r="K202" s="53"/>
      <c r="L202" s="52"/>
      <c r="M202" s="54"/>
      <c r="N202" s="53"/>
      <c r="O202" s="52"/>
      <c r="P202" s="54"/>
      <c r="Q202" s="2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 x14ac:dyDescent="0.2">
      <c r="A203" s="4"/>
      <c r="B203" s="23"/>
      <c r="C203" s="224"/>
      <c r="D203" s="224"/>
      <c r="E203" s="20" t="s">
        <v>16</v>
      </c>
      <c r="F203" s="56"/>
      <c r="G203" s="56"/>
      <c r="H203" s="57"/>
      <c r="I203" s="52"/>
      <c r="J203" s="54"/>
      <c r="K203" s="53"/>
      <c r="L203" s="52"/>
      <c r="M203" s="54"/>
      <c r="N203" s="53"/>
      <c r="O203" s="52"/>
      <c r="P203" s="54"/>
      <c r="Q203" s="2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 x14ac:dyDescent="0.2">
      <c r="A204" s="4"/>
      <c r="B204" s="27"/>
      <c r="C204" s="225"/>
      <c r="D204" s="225"/>
      <c r="E204" s="28" t="s">
        <v>17</v>
      </c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30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 x14ac:dyDescent="0.2">
      <c r="A205" s="4"/>
      <c r="B205" s="42"/>
      <c r="C205" s="43"/>
      <c r="D205" s="43"/>
      <c r="E205" s="44" t="s">
        <v>18</v>
      </c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6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 x14ac:dyDescent="0.2">
      <c r="A207" s="4"/>
      <c r="B207" s="4"/>
      <c r="C207" s="4"/>
      <c r="D207" s="4"/>
      <c r="E207" s="4"/>
      <c r="F207" s="4" t="s">
        <v>69</v>
      </c>
      <c r="G207" s="4"/>
      <c r="H207" s="4"/>
      <c r="I207" s="4"/>
      <c r="J207" s="4" t="s">
        <v>70</v>
      </c>
      <c r="K207" s="4"/>
      <c r="L207" s="4" t="s">
        <v>71</v>
      </c>
      <c r="M207" s="4"/>
      <c r="N207" s="4"/>
      <c r="O207" s="4" t="s">
        <v>72</v>
      </c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 x14ac:dyDescent="0.2">
      <c r="A208" s="4"/>
      <c r="B208" s="4"/>
      <c r="C208" s="4"/>
      <c r="D208" s="4"/>
      <c r="E208" s="4"/>
      <c r="F208" s="4" t="s">
        <v>73</v>
      </c>
      <c r="G208" s="4"/>
      <c r="H208" s="4"/>
      <c r="I208" s="4"/>
      <c r="J208" s="4" t="s">
        <v>74</v>
      </c>
      <c r="K208" s="4"/>
      <c r="L208" s="4" t="s">
        <v>75</v>
      </c>
      <c r="M208" s="4"/>
      <c r="N208" s="4"/>
      <c r="O208" s="4" t="s">
        <v>76</v>
      </c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 x14ac:dyDescent="0.2">
      <c r="A209" s="4"/>
      <c r="B209" s="4"/>
      <c r="C209" s="4"/>
      <c r="D209" s="4"/>
      <c r="E209" s="4"/>
      <c r="F209" s="4" t="s">
        <v>77</v>
      </c>
      <c r="G209" s="4"/>
      <c r="H209" s="4"/>
      <c r="I209" s="4"/>
      <c r="J209" s="4"/>
      <c r="K209" s="4"/>
      <c r="L209" s="4"/>
      <c r="M209" s="4"/>
      <c r="N209" s="4"/>
      <c r="O209" s="4" t="s">
        <v>78</v>
      </c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 x14ac:dyDescent="0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 x14ac:dyDescent="0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2" customHeight="1" x14ac:dyDescent="0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2" customHeight="1" x14ac:dyDescent="0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2" customHeight="1" x14ac:dyDescent="0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2" customHeight="1" x14ac:dyDescent="0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2" customHeight="1" x14ac:dyDescent="0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2" customHeight="1" x14ac:dyDescent="0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2" customHeight="1" x14ac:dyDescent="0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5"/>
      <c r="S1009" s="5"/>
      <c r="T1009" s="5"/>
      <c r="U1009" s="5"/>
      <c r="V1009" s="5"/>
      <c r="W1009" s="5"/>
      <c r="X1009" s="5"/>
      <c r="Y1009" s="5"/>
      <c r="Z1009" s="5"/>
    </row>
  </sheetData>
  <mergeCells count="48">
    <mergeCell ref="B2:Q2"/>
    <mergeCell ref="B3:Q3"/>
    <mergeCell ref="B4:Q4"/>
    <mergeCell ref="B5:Q5"/>
    <mergeCell ref="C8:C15"/>
    <mergeCell ref="D8:D15"/>
    <mergeCell ref="D17:D24"/>
    <mergeCell ref="C17:C24"/>
    <mergeCell ref="C26:C33"/>
    <mergeCell ref="D26:D33"/>
    <mergeCell ref="C35:C42"/>
    <mergeCell ref="D35:D42"/>
    <mergeCell ref="C44:C51"/>
    <mergeCell ref="D44:D51"/>
    <mergeCell ref="C53:C60"/>
    <mergeCell ref="D53:D60"/>
    <mergeCell ref="C62:C69"/>
    <mergeCell ref="D62:D69"/>
    <mergeCell ref="C71:C78"/>
    <mergeCell ref="D71:D78"/>
    <mergeCell ref="D80:D87"/>
    <mergeCell ref="C80:C87"/>
    <mergeCell ref="C89:C96"/>
    <mergeCell ref="D89:D96"/>
    <mergeCell ref="C98:C105"/>
    <mergeCell ref="D98:D105"/>
    <mergeCell ref="C107:C114"/>
    <mergeCell ref="D107:D114"/>
    <mergeCell ref="C116:C123"/>
    <mergeCell ref="D116:D123"/>
    <mergeCell ref="C125:C132"/>
    <mergeCell ref="D125:D132"/>
    <mergeCell ref="C134:C141"/>
    <mergeCell ref="D134:D141"/>
    <mergeCell ref="D143:D150"/>
    <mergeCell ref="C143:C150"/>
    <mergeCell ref="C179:C186"/>
    <mergeCell ref="D179:D186"/>
    <mergeCell ref="C188:C195"/>
    <mergeCell ref="D188:D195"/>
    <mergeCell ref="C197:C204"/>
    <mergeCell ref="D197:D204"/>
    <mergeCell ref="C152:C159"/>
    <mergeCell ref="D152:D159"/>
    <mergeCell ref="C161:C168"/>
    <mergeCell ref="D161:D168"/>
    <mergeCell ref="C170:C177"/>
    <mergeCell ref="D170:D177"/>
  </mergeCells>
  <conditionalFormatting sqref="B8 D8">
    <cfRule type="expression" dxfId="353" priority="1">
      <formula>#REF!="Total"</formula>
    </cfRule>
  </conditionalFormatting>
  <conditionalFormatting sqref="B8:B15 B70:Q70 D71:E71 F71:H77 B71:B78 E72:E77 E78:Q78 B79:Q79 D80:E80 B80:B87 E81:E86 E87:Q87 B88:Q88 D89:E89 F89:H95 B89:B96 E90:E95 E96:Q96 B97:Q97 D98:E98 F98:H104 B98:B105 E99:E104 E105:Q105 B106:Q106 D107:E107 F107:H113 B107:B114 E108:E113 E114:Q114 B115:Q115 D116:E116 F116:H122 B116:B123 E117:E122 E123:Q123 B124:Q124 D125:E125 F125:H131 B125:B132 E126:E131 E132:Q132 B133:Q133 D134:E134 F134:H140 B134:B141 E135:E140 E141:Q141 B142:Q142 C188:D188 E188:H194 B188:B195 I192:Q192 E195:Q195 B196:Q196 D197:E197 F197:H203 B197:B204 E198:E203 E204:Q204 B205:Q205">
    <cfRule type="expression" dxfId="352" priority="2">
      <formula>$E8="Total"</formula>
    </cfRule>
  </conditionalFormatting>
  <conditionalFormatting sqref="B17:B24">
    <cfRule type="expression" dxfId="351" priority="3">
      <formula>$E17="Total"</formula>
    </cfRule>
  </conditionalFormatting>
  <conditionalFormatting sqref="B35:B42">
    <cfRule type="expression" dxfId="350" priority="4">
      <formula>$E35="Total"</formula>
    </cfRule>
  </conditionalFormatting>
  <conditionalFormatting sqref="B44:B51">
    <cfRule type="expression" dxfId="349" priority="5">
      <formula>$E44="Total"</formula>
    </cfRule>
  </conditionalFormatting>
  <conditionalFormatting sqref="B53:B60">
    <cfRule type="expression" dxfId="348" priority="6">
      <formula>$E53="Total"</formula>
    </cfRule>
  </conditionalFormatting>
  <conditionalFormatting sqref="B62:B69">
    <cfRule type="expression" dxfId="347" priority="7">
      <formula>$E62="Total"</formula>
    </cfRule>
  </conditionalFormatting>
  <conditionalFormatting sqref="B71 D71">
    <cfRule type="expression" dxfId="346" priority="8">
      <formula>#REF!="Total"</formula>
    </cfRule>
  </conditionalFormatting>
  <conditionalFormatting sqref="B80 D80">
    <cfRule type="expression" dxfId="345" priority="9">
      <formula>$E79="Total"</formula>
    </cfRule>
  </conditionalFormatting>
  <conditionalFormatting sqref="B143:B150">
    <cfRule type="expression" dxfId="344" priority="10">
      <formula>$E143="Total"</formula>
    </cfRule>
  </conditionalFormatting>
  <conditionalFormatting sqref="B152:B159">
    <cfRule type="expression" dxfId="343" priority="11">
      <formula>$E152="Total"</formula>
    </cfRule>
  </conditionalFormatting>
  <conditionalFormatting sqref="B161:B168">
    <cfRule type="expression" dxfId="342" priority="12">
      <formula>$E161="Total"</formula>
    </cfRule>
  </conditionalFormatting>
  <conditionalFormatting sqref="B170:B177">
    <cfRule type="expression" dxfId="341" priority="13">
      <formula>$E170="Total"</formula>
    </cfRule>
  </conditionalFormatting>
  <conditionalFormatting sqref="B179:B186">
    <cfRule type="expression" dxfId="340" priority="14">
      <formula>$E179="Total"</formula>
    </cfRule>
  </conditionalFormatting>
  <conditionalFormatting sqref="B7:Q7 E9:E14 F10:H14 E15:Q15 E18:E23 F19:H23 E24:Q24 E36:E41 E42:Q42 E45:E50 E51:Q51 E60:Q60 D62:E62 E63:E68 E69:Q69 E150:Q150 E152:E158 G156:H158 E159:Q159">
    <cfRule type="expression" dxfId="339" priority="15">
      <formula>$E7="Total"</formula>
    </cfRule>
  </conditionalFormatting>
  <conditionalFormatting sqref="B16:Q16">
    <cfRule type="expression" dxfId="338" priority="16">
      <formula>$E16="Total"</formula>
    </cfRule>
  </conditionalFormatting>
  <conditionalFormatting sqref="B25:Q34">
    <cfRule type="expression" dxfId="337" priority="17">
      <formula>$E25="Total"</formula>
    </cfRule>
  </conditionalFormatting>
  <conditionalFormatting sqref="B43:Q43">
    <cfRule type="expression" dxfId="336" priority="18">
      <formula>$E43="Total"</formula>
    </cfRule>
  </conditionalFormatting>
  <conditionalFormatting sqref="B52:Q52">
    <cfRule type="expression" dxfId="335" priority="19">
      <formula>$E52="Total"</formula>
    </cfRule>
  </conditionalFormatting>
  <conditionalFormatting sqref="B61:Q61">
    <cfRule type="expression" dxfId="334" priority="20">
      <formula>$E61="Total"</formula>
    </cfRule>
  </conditionalFormatting>
  <conditionalFormatting sqref="B151:Q151">
    <cfRule type="expression" dxfId="333" priority="21">
      <formula>$E151="Total"</formula>
    </cfRule>
  </conditionalFormatting>
  <conditionalFormatting sqref="B160:Q160">
    <cfRule type="expression" dxfId="332" priority="22">
      <formula>$E160="Total"</formula>
    </cfRule>
  </conditionalFormatting>
  <conditionalFormatting sqref="B169:Q169">
    <cfRule type="expression" dxfId="331" priority="23">
      <formula>$E169="Total"</formula>
    </cfRule>
  </conditionalFormatting>
  <conditionalFormatting sqref="B178:Q178">
    <cfRule type="expression" dxfId="330" priority="24">
      <formula>$E178="Total"</formula>
    </cfRule>
  </conditionalFormatting>
  <conditionalFormatting sqref="B187:Q187">
    <cfRule type="expression" dxfId="329" priority="25">
      <formula>$E187="Total"</formula>
    </cfRule>
  </conditionalFormatting>
  <conditionalFormatting sqref="C53:D53">
    <cfRule type="expression" dxfId="328" priority="26">
      <formula>$E53="Total"</formula>
    </cfRule>
  </conditionalFormatting>
  <conditionalFormatting sqref="C152:D152">
    <cfRule type="expression" dxfId="327" priority="27">
      <formula>$E152="Total"</formula>
    </cfRule>
  </conditionalFormatting>
  <conditionalFormatting sqref="C35:E35">
    <cfRule type="expression" dxfId="326" priority="28">
      <formula>$E35="Total"</formula>
    </cfRule>
  </conditionalFormatting>
  <conditionalFormatting sqref="C44:E44">
    <cfRule type="expression" dxfId="325" priority="29">
      <formula>$E44="Total"</formula>
    </cfRule>
  </conditionalFormatting>
  <conditionalFormatting sqref="C8:H8">
    <cfRule type="expression" dxfId="324" priority="30">
      <formula>$E8="Total"</formula>
    </cfRule>
  </conditionalFormatting>
  <conditionalFormatting sqref="C17:H17">
    <cfRule type="expression" dxfId="323" priority="31">
      <formula>$E17="Total"</formula>
    </cfRule>
  </conditionalFormatting>
  <conditionalFormatting sqref="D44">
    <cfRule type="expression" dxfId="322" priority="32">
      <formula>$E43="Total"</formula>
    </cfRule>
  </conditionalFormatting>
  <conditionalFormatting sqref="D62">
    <cfRule type="expression" dxfId="321" priority="33">
      <formula>#REF!="Total"</formula>
    </cfRule>
  </conditionalFormatting>
  <conditionalFormatting sqref="D143">
    <cfRule type="expression" dxfId="320" priority="34">
      <formula>$E143="Total"</formula>
    </cfRule>
  </conditionalFormatting>
  <conditionalFormatting sqref="D161:E161 E162:E167 E168:Q168">
    <cfRule type="expression" dxfId="319" priority="35">
      <formula>$E161="Total"</formula>
    </cfRule>
  </conditionalFormatting>
  <conditionalFormatting sqref="D170:E170 E171:E176 E177:Q177">
    <cfRule type="expression" dxfId="318" priority="36">
      <formula>$E170="Total"</formula>
    </cfRule>
  </conditionalFormatting>
  <conditionalFormatting sqref="D179:E179 E180:E185 E186:Q186">
    <cfRule type="expression" dxfId="317" priority="37">
      <formula>$E179="Total"</formula>
    </cfRule>
  </conditionalFormatting>
  <conditionalFormatting sqref="E53:H59">
    <cfRule type="expression" dxfId="316" priority="38">
      <formula>$E53="Total"</formula>
    </cfRule>
  </conditionalFormatting>
  <conditionalFormatting sqref="E143:H149">
    <cfRule type="expression" dxfId="315" priority="39">
      <formula>$E143="Total"</formula>
    </cfRule>
  </conditionalFormatting>
  <conditionalFormatting sqref="F152:F158">
    <cfRule type="expression" dxfId="314" priority="40">
      <formula>$B152="Total"</formula>
    </cfRule>
  </conditionalFormatting>
  <conditionalFormatting sqref="F37:H41">
    <cfRule type="expression" dxfId="313" priority="41">
      <formula>$E37="Total"</formula>
    </cfRule>
  </conditionalFormatting>
  <conditionalFormatting sqref="F44:H50">
    <cfRule type="expression" dxfId="312" priority="42">
      <formula>$E44="Total"</formula>
    </cfRule>
  </conditionalFormatting>
  <conditionalFormatting sqref="F62:H68">
    <cfRule type="expression" dxfId="311" priority="43">
      <formula>$E62="Total"</formula>
    </cfRule>
  </conditionalFormatting>
  <conditionalFormatting sqref="F80:H86">
    <cfRule type="expression" dxfId="310" priority="44">
      <formula>$E80="Total"</formula>
    </cfRule>
  </conditionalFormatting>
  <conditionalFormatting sqref="F161:H167">
    <cfRule type="expression" dxfId="309" priority="45">
      <formula>$E161="Total"</formula>
    </cfRule>
  </conditionalFormatting>
  <conditionalFormatting sqref="F170:H176">
    <cfRule type="expression" dxfId="308" priority="46">
      <formula>$E170="Total"</formula>
    </cfRule>
  </conditionalFormatting>
  <conditionalFormatting sqref="F179:H185">
    <cfRule type="expression" dxfId="307" priority="47">
      <formula>$E179="Total"</formula>
    </cfRule>
  </conditionalFormatting>
  <conditionalFormatting sqref="F9:Q9">
    <cfRule type="expression" dxfId="306" priority="48">
      <formula>$E9="Total"</formula>
    </cfRule>
  </conditionalFormatting>
  <conditionalFormatting sqref="F18:Q18">
    <cfRule type="expression" dxfId="305" priority="49">
      <formula>$E18="Total"</formula>
    </cfRule>
  </conditionalFormatting>
  <conditionalFormatting sqref="F35:Q36">
    <cfRule type="expression" dxfId="304" priority="50">
      <formula>$E35="Total"</formula>
    </cfRule>
  </conditionalFormatting>
  <conditionalFormatting sqref="G152:H154">
    <cfRule type="expression" dxfId="303" priority="51">
      <formula>$E152="Total"</formula>
    </cfRule>
  </conditionalFormatting>
  <conditionalFormatting sqref="G155:Q155">
    <cfRule type="expression" dxfId="302" priority="52">
      <formula>$B155="Total"</formula>
    </cfRule>
  </conditionalFormatting>
  <conditionalFormatting sqref="I23:Q23">
    <cfRule type="expression" dxfId="301" priority="53">
      <formula>$E23="Total"</formula>
    </cfRule>
  </conditionalFormatting>
  <conditionalFormatting sqref="I171:Q171">
    <cfRule type="expression" dxfId="300" priority="54">
      <formula>$E171="Total"</formula>
    </cfRule>
  </conditionalFormatting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1000"/>
  <sheetViews>
    <sheetView workbookViewId="0">
      <selection sqref="A1:XFD1048576"/>
    </sheetView>
  </sheetViews>
  <sheetFormatPr baseColWidth="10" defaultColWidth="14.5" defaultRowHeight="15" customHeight="1" x14ac:dyDescent="0.2"/>
  <cols>
    <col min="1" max="1" width="8.83203125" customWidth="1"/>
    <col min="2" max="2" width="25.83203125" customWidth="1"/>
    <col min="3" max="3" width="10.5" customWidth="1"/>
    <col min="4" max="4" width="12.1640625" customWidth="1"/>
    <col min="5" max="5" width="43.1640625" customWidth="1"/>
    <col min="6" max="26" width="8.83203125" customWidth="1"/>
  </cols>
  <sheetData>
    <row r="2" spans="2:17" x14ac:dyDescent="0.2"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</row>
    <row r="3" spans="2:17" x14ac:dyDescent="0.2">
      <c r="B3" s="229" t="s">
        <v>1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</row>
    <row r="4" spans="2:17" x14ac:dyDescent="0.2"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</row>
    <row r="5" spans="2:17" x14ac:dyDescent="0.2">
      <c r="B5" s="232" t="s">
        <v>79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</row>
    <row r="7" spans="2:17" x14ac:dyDescent="0.2">
      <c r="B7" s="8" t="s">
        <v>4</v>
      </c>
      <c r="C7" s="9" t="s">
        <v>5</v>
      </c>
      <c r="D7" s="9" t="s">
        <v>6</v>
      </c>
      <c r="E7" s="10"/>
      <c r="F7" s="2">
        <v>44743</v>
      </c>
      <c r="G7" s="2">
        <v>44774</v>
      </c>
      <c r="H7" s="2">
        <v>44805</v>
      </c>
      <c r="I7" s="2">
        <v>44835</v>
      </c>
      <c r="J7" s="2">
        <v>44866</v>
      </c>
      <c r="K7" s="2">
        <v>44896</v>
      </c>
      <c r="L7" s="2">
        <v>44927</v>
      </c>
      <c r="M7" s="2">
        <v>44958</v>
      </c>
      <c r="N7" s="2">
        <v>44986</v>
      </c>
      <c r="O7" s="2">
        <v>45017</v>
      </c>
      <c r="P7" s="2">
        <v>45047</v>
      </c>
      <c r="Q7" s="3">
        <v>45078</v>
      </c>
    </row>
    <row r="8" spans="2:17" x14ac:dyDescent="0.2">
      <c r="B8" s="11" t="s">
        <v>7</v>
      </c>
      <c r="C8" s="235" t="s">
        <v>8</v>
      </c>
      <c r="D8" s="235" t="s">
        <v>8</v>
      </c>
      <c r="E8" s="13" t="s">
        <v>9</v>
      </c>
      <c r="F8" s="14"/>
      <c r="G8" s="14"/>
      <c r="H8" s="15"/>
      <c r="I8" s="14"/>
      <c r="J8" s="16">
        <v>0.05</v>
      </c>
      <c r="K8" s="17">
        <v>0.05</v>
      </c>
      <c r="L8" s="14">
        <v>0.2</v>
      </c>
      <c r="M8" s="16">
        <v>0.1</v>
      </c>
      <c r="N8" s="17">
        <v>0.1</v>
      </c>
      <c r="O8" s="14">
        <v>0.1</v>
      </c>
      <c r="P8" s="16">
        <v>0.05</v>
      </c>
      <c r="Q8" s="18">
        <v>0.05</v>
      </c>
    </row>
    <row r="9" spans="2:17" x14ac:dyDescent="0.2"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</row>
    <row r="10" spans="2:17" x14ac:dyDescent="0.2"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</row>
    <row r="11" spans="2:17" x14ac:dyDescent="0.2"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</row>
    <row r="12" spans="2:17" x14ac:dyDescent="0.2"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</row>
    <row r="13" spans="2:17" x14ac:dyDescent="0.2"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</row>
    <row r="14" spans="2:17" x14ac:dyDescent="0.2">
      <c r="B14" s="23"/>
      <c r="C14" s="224"/>
      <c r="D14" s="224"/>
      <c r="E14" s="20" t="s">
        <v>16</v>
      </c>
      <c r="F14" s="21"/>
      <c r="G14" s="21"/>
      <c r="H14" s="24"/>
      <c r="I14" s="14"/>
      <c r="J14" s="16"/>
      <c r="K14" s="15"/>
      <c r="L14" s="14"/>
      <c r="M14" s="16"/>
      <c r="N14" s="15"/>
      <c r="O14" s="14"/>
      <c r="P14" s="16"/>
      <c r="Q14" s="25"/>
    </row>
    <row r="15" spans="2:17" x14ac:dyDescent="0.2"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</row>
    <row r="16" spans="2:17" x14ac:dyDescent="0.2">
      <c r="B16" s="31" t="str">
        <f>B8</f>
        <v>Beau Leese</v>
      </c>
      <c r="C16" s="32"/>
      <c r="D16" s="32"/>
      <c r="E16" s="32" t="s">
        <v>18</v>
      </c>
      <c r="F16" s="33">
        <f t="shared" ref="F16:Q16" si="0">SUM(F8:F15)</f>
        <v>0</v>
      </c>
      <c r="G16" s="33">
        <f t="shared" si="0"/>
        <v>0</v>
      </c>
      <c r="H16" s="33">
        <f t="shared" si="0"/>
        <v>0</v>
      </c>
      <c r="I16" s="33">
        <f t="shared" si="0"/>
        <v>0</v>
      </c>
      <c r="J16" s="33">
        <f t="shared" si="0"/>
        <v>0.05</v>
      </c>
      <c r="K16" s="33">
        <f t="shared" si="0"/>
        <v>0.05</v>
      </c>
      <c r="L16" s="33">
        <f t="shared" si="0"/>
        <v>0.2</v>
      </c>
      <c r="M16" s="33">
        <f t="shared" si="0"/>
        <v>0.1</v>
      </c>
      <c r="N16" s="33">
        <f t="shared" si="0"/>
        <v>0.1</v>
      </c>
      <c r="O16" s="33">
        <f t="shared" si="0"/>
        <v>0.1</v>
      </c>
      <c r="P16" s="33">
        <f t="shared" si="0"/>
        <v>0.05</v>
      </c>
      <c r="Q16" s="33">
        <f t="shared" si="0"/>
        <v>0.05</v>
      </c>
    </row>
    <row r="17" spans="2:17" x14ac:dyDescent="0.2">
      <c r="B17" s="35" t="s">
        <v>19</v>
      </c>
      <c r="C17" s="223" t="s">
        <v>8</v>
      </c>
      <c r="D17" s="223" t="s">
        <v>8</v>
      </c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</row>
    <row r="18" spans="2:17" x14ac:dyDescent="0.2">
      <c r="B18" s="19" t="s">
        <v>20</v>
      </c>
      <c r="C18" s="224"/>
      <c r="D18" s="224"/>
      <c r="E18" s="20" t="s">
        <v>11</v>
      </c>
      <c r="F18" s="21"/>
      <c r="G18" s="21"/>
      <c r="H18" s="21"/>
      <c r="I18" s="21">
        <v>0.05</v>
      </c>
      <c r="J18" s="21">
        <v>0.05</v>
      </c>
      <c r="K18" s="21">
        <v>0.05</v>
      </c>
      <c r="L18" s="21">
        <v>0.1</v>
      </c>
      <c r="M18" s="21">
        <v>0.1</v>
      </c>
      <c r="N18" s="21">
        <v>0.1</v>
      </c>
      <c r="O18" s="21">
        <v>0.1</v>
      </c>
      <c r="P18" s="21">
        <v>0.1</v>
      </c>
      <c r="Q18" s="22">
        <v>0.1</v>
      </c>
    </row>
    <row r="19" spans="2:17" x14ac:dyDescent="0.2"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</row>
    <row r="20" spans="2:17" x14ac:dyDescent="0.2"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</row>
    <row r="21" spans="2:17" ht="15.75" customHeight="1" x14ac:dyDescent="0.2"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</row>
    <row r="22" spans="2:17" ht="15.75" customHeight="1" x14ac:dyDescent="0.2"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</row>
    <row r="23" spans="2:17" ht="15.75" customHeight="1" x14ac:dyDescent="0.2">
      <c r="B23" s="23"/>
      <c r="C23" s="224"/>
      <c r="D23" s="224"/>
      <c r="E23" s="20" t="s">
        <v>16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/>
    </row>
    <row r="24" spans="2:17" ht="15.75" customHeight="1" x14ac:dyDescent="0.2"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</row>
    <row r="25" spans="2:17" ht="15.75" customHeight="1" x14ac:dyDescent="0.2">
      <c r="B25" s="42" t="str">
        <f>B17</f>
        <v>Suzy Watson</v>
      </c>
      <c r="C25" s="43"/>
      <c r="D25" s="43"/>
      <c r="E25" s="44" t="s">
        <v>18</v>
      </c>
      <c r="F25" s="33">
        <f t="shared" ref="F25:Q25" si="1">SUM(F17:F24)</f>
        <v>0</v>
      </c>
      <c r="G25" s="33">
        <f t="shared" si="1"/>
        <v>0</v>
      </c>
      <c r="H25" s="33">
        <f t="shared" si="1"/>
        <v>0</v>
      </c>
      <c r="I25" s="33">
        <f t="shared" si="1"/>
        <v>0.05</v>
      </c>
      <c r="J25" s="33">
        <f t="shared" si="1"/>
        <v>0.05</v>
      </c>
      <c r="K25" s="33">
        <f t="shared" si="1"/>
        <v>0.05</v>
      </c>
      <c r="L25" s="33">
        <f t="shared" si="1"/>
        <v>0.1</v>
      </c>
      <c r="M25" s="33">
        <f t="shared" si="1"/>
        <v>0.1</v>
      </c>
      <c r="N25" s="33">
        <f t="shared" si="1"/>
        <v>0.1</v>
      </c>
      <c r="O25" s="33">
        <f t="shared" si="1"/>
        <v>0.1</v>
      </c>
      <c r="P25" s="33">
        <f t="shared" si="1"/>
        <v>0.1</v>
      </c>
      <c r="Q25" s="33">
        <f t="shared" si="1"/>
        <v>0.1</v>
      </c>
    </row>
    <row r="26" spans="2:17" ht="15.75" customHeight="1" x14ac:dyDescent="0.2">
      <c r="B26" s="35" t="s">
        <v>23</v>
      </c>
      <c r="C26" s="223" t="s">
        <v>8</v>
      </c>
      <c r="D26" s="223" t="s">
        <v>8</v>
      </c>
      <c r="E26" s="36" t="s">
        <v>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48"/>
    </row>
    <row r="27" spans="2:17" ht="15.75" customHeight="1" x14ac:dyDescent="0.2">
      <c r="B27" s="19" t="s">
        <v>24</v>
      </c>
      <c r="C27" s="224"/>
      <c r="D27" s="224"/>
      <c r="E27" s="20" t="s">
        <v>11</v>
      </c>
      <c r="F27" s="21"/>
      <c r="G27" s="21"/>
      <c r="H27" s="21"/>
      <c r="I27" s="21"/>
      <c r="J27" s="21"/>
      <c r="K27" s="21"/>
      <c r="L27" s="21"/>
      <c r="M27" s="21"/>
      <c r="N27" s="21"/>
      <c r="O27" s="21">
        <v>0.1</v>
      </c>
      <c r="P27" s="21">
        <v>0.1</v>
      </c>
      <c r="Q27" s="22">
        <v>0.05</v>
      </c>
    </row>
    <row r="28" spans="2:17" ht="15.75" customHeight="1" x14ac:dyDescent="0.2">
      <c r="B28" s="23"/>
      <c r="C28" s="224"/>
      <c r="D28" s="224"/>
      <c r="E28" s="20" t="s">
        <v>12</v>
      </c>
      <c r="F28" s="21"/>
      <c r="G28" s="21"/>
      <c r="H28" s="24"/>
      <c r="I28" s="14"/>
      <c r="J28" s="16"/>
      <c r="K28" s="15"/>
      <c r="L28" s="14"/>
      <c r="M28" s="16"/>
      <c r="N28" s="15"/>
      <c r="O28" s="14"/>
      <c r="P28" s="16"/>
      <c r="Q28" s="25"/>
    </row>
    <row r="29" spans="2:17" ht="15.75" customHeight="1" x14ac:dyDescent="0.2"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</row>
    <row r="30" spans="2:17" ht="15.75" customHeight="1" x14ac:dyDescent="0.2"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</row>
    <row r="31" spans="2:17" ht="15.75" customHeight="1" x14ac:dyDescent="0.2"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</row>
    <row r="32" spans="2:17" ht="15.75" customHeight="1" x14ac:dyDescent="0.2">
      <c r="B32" s="23"/>
      <c r="C32" s="224"/>
      <c r="D32" s="224"/>
      <c r="E32" s="20" t="s">
        <v>16</v>
      </c>
      <c r="F32" s="21"/>
      <c r="G32" s="21"/>
      <c r="H32" s="24"/>
      <c r="I32" s="14"/>
      <c r="J32" s="16">
        <v>0.15</v>
      </c>
      <c r="K32" s="15">
        <v>0.15</v>
      </c>
      <c r="L32" s="14">
        <v>0.15</v>
      </c>
      <c r="M32" s="16">
        <v>0.15</v>
      </c>
      <c r="N32" s="15">
        <v>0.15</v>
      </c>
      <c r="O32" s="14">
        <v>0.15</v>
      </c>
      <c r="P32" s="16">
        <v>0.15</v>
      </c>
      <c r="Q32" s="25">
        <v>0.15</v>
      </c>
    </row>
    <row r="33" spans="2:17" ht="15.75" customHeight="1" x14ac:dyDescent="0.2"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</row>
    <row r="34" spans="2:17" ht="15.75" customHeight="1" x14ac:dyDescent="0.2">
      <c r="B34" s="76"/>
      <c r="C34" s="45"/>
      <c r="D34" s="45"/>
      <c r="E34" s="45"/>
      <c r="F34" s="33">
        <f t="shared" ref="F34:Q34" si="2">SUM(F26:F33)</f>
        <v>0</v>
      </c>
      <c r="G34" s="33">
        <f t="shared" si="2"/>
        <v>0</v>
      </c>
      <c r="H34" s="33">
        <f t="shared" si="2"/>
        <v>0</v>
      </c>
      <c r="I34" s="33">
        <f t="shared" si="2"/>
        <v>0</v>
      </c>
      <c r="J34" s="33">
        <f t="shared" si="2"/>
        <v>0.15</v>
      </c>
      <c r="K34" s="33">
        <f t="shared" si="2"/>
        <v>0.15</v>
      </c>
      <c r="L34" s="33">
        <f t="shared" si="2"/>
        <v>0.15</v>
      </c>
      <c r="M34" s="33">
        <f t="shared" si="2"/>
        <v>0.15</v>
      </c>
      <c r="N34" s="33">
        <f t="shared" si="2"/>
        <v>0.15</v>
      </c>
      <c r="O34" s="33">
        <f t="shared" si="2"/>
        <v>0.25</v>
      </c>
      <c r="P34" s="33">
        <f t="shared" si="2"/>
        <v>0.25</v>
      </c>
      <c r="Q34" s="33">
        <f t="shared" si="2"/>
        <v>0.2</v>
      </c>
    </row>
    <row r="35" spans="2:17" ht="15.75" customHeight="1" x14ac:dyDescent="0.2">
      <c r="B35" s="35" t="s">
        <v>80</v>
      </c>
      <c r="C35" s="223" t="s">
        <v>8</v>
      </c>
      <c r="D35" s="223" t="s">
        <v>8</v>
      </c>
      <c r="E35" s="36" t="s">
        <v>9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8"/>
    </row>
    <row r="36" spans="2:17" ht="15.75" customHeight="1" x14ac:dyDescent="0.2">
      <c r="B36" s="19" t="s">
        <v>81</v>
      </c>
      <c r="C36" s="224"/>
      <c r="D36" s="224"/>
      <c r="E36" s="20" t="s">
        <v>11</v>
      </c>
      <c r="F36" s="21"/>
      <c r="G36" s="21"/>
      <c r="H36" s="21"/>
      <c r="I36" s="21"/>
      <c r="J36" s="21"/>
      <c r="K36" s="21"/>
      <c r="L36" s="21">
        <v>0.15</v>
      </c>
      <c r="M36" s="21">
        <v>0.15</v>
      </c>
      <c r="N36" s="21">
        <v>0.15</v>
      </c>
      <c r="O36" s="21">
        <v>0.15</v>
      </c>
      <c r="P36" s="21">
        <v>0.15</v>
      </c>
      <c r="Q36" s="22">
        <v>0.15</v>
      </c>
    </row>
    <row r="37" spans="2:17" ht="15.75" customHeight="1" x14ac:dyDescent="0.2">
      <c r="B37" s="23"/>
      <c r="C37" s="224"/>
      <c r="D37" s="224"/>
      <c r="E37" s="20" t="s">
        <v>12</v>
      </c>
      <c r="F37" s="21"/>
      <c r="G37" s="21"/>
      <c r="H37" s="24"/>
      <c r="I37" s="14"/>
      <c r="J37" s="16"/>
      <c r="K37" s="15"/>
      <c r="L37" s="14"/>
      <c r="M37" s="16"/>
      <c r="N37" s="15"/>
      <c r="O37" s="14"/>
      <c r="P37" s="16"/>
      <c r="Q37" s="25"/>
    </row>
    <row r="38" spans="2:17" ht="15.75" customHeight="1" x14ac:dyDescent="0.2"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</row>
    <row r="39" spans="2:17" ht="15.75" customHeight="1" x14ac:dyDescent="0.2"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</row>
    <row r="40" spans="2:17" ht="15.75" customHeight="1" x14ac:dyDescent="0.2"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</row>
    <row r="41" spans="2:17" ht="15.75" customHeight="1" x14ac:dyDescent="0.2">
      <c r="B41" s="23"/>
      <c r="C41" s="224"/>
      <c r="D41" s="224"/>
      <c r="E41" s="20" t="s">
        <v>16</v>
      </c>
      <c r="F41" s="21"/>
      <c r="G41" s="21"/>
      <c r="H41" s="24"/>
      <c r="I41" s="14"/>
      <c r="J41" s="16"/>
      <c r="K41" s="15"/>
      <c r="L41" s="14"/>
      <c r="M41" s="16"/>
      <c r="N41" s="15"/>
      <c r="O41" s="14"/>
      <c r="P41" s="16"/>
      <c r="Q41" s="25"/>
    </row>
    <row r="42" spans="2:17" ht="15.75" customHeight="1" x14ac:dyDescent="0.2"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</row>
    <row r="43" spans="2:17" ht="15.75" customHeight="1" x14ac:dyDescent="0.2">
      <c r="B43" s="76"/>
      <c r="C43" s="45"/>
      <c r="D43" s="45"/>
      <c r="E43" s="45"/>
      <c r="F43" s="33">
        <f t="shared" ref="F43:Q43" si="3">SUM(F35:F42)</f>
        <v>0</v>
      </c>
      <c r="G43" s="33">
        <f t="shared" si="3"/>
        <v>0</v>
      </c>
      <c r="H43" s="33">
        <f t="shared" si="3"/>
        <v>0</v>
      </c>
      <c r="I43" s="33">
        <f t="shared" si="3"/>
        <v>0</v>
      </c>
      <c r="J43" s="33">
        <f t="shared" si="3"/>
        <v>0</v>
      </c>
      <c r="K43" s="33">
        <f t="shared" si="3"/>
        <v>0</v>
      </c>
      <c r="L43" s="33">
        <f t="shared" si="3"/>
        <v>0.15</v>
      </c>
      <c r="M43" s="33">
        <f t="shared" si="3"/>
        <v>0.15</v>
      </c>
      <c r="N43" s="33">
        <f t="shared" si="3"/>
        <v>0.15</v>
      </c>
      <c r="O43" s="33">
        <f t="shared" si="3"/>
        <v>0.15</v>
      </c>
      <c r="P43" s="33">
        <f t="shared" si="3"/>
        <v>0.15</v>
      </c>
      <c r="Q43" s="33">
        <f t="shared" si="3"/>
        <v>0.15</v>
      </c>
    </row>
    <row r="44" spans="2:17" ht="15.75" customHeight="1" x14ac:dyDescent="0.2">
      <c r="B44" s="35" t="s">
        <v>54</v>
      </c>
      <c r="C44" s="223" t="s">
        <v>8</v>
      </c>
      <c r="D44" s="223" t="s">
        <v>38</v>
      </c>
      <c r="E44" s="36" t="s">
        <v>9</v>
      </c>
      <c r="F44" s="37"/>
      <c r="G44" s="37"/>
      <c r="H44" s="37"/>
      <c r="I44" s="37">
        <v>0.15</v>
      </c>
      <c r="J44" s="37">
        <v>0.15</v>
      </c>
      <c r="K44" s="37">
        <v>0.15</v>
      </c>
      <c r="L44" s="37">
        <v>0.15</v>
      </c>
      <c r="M44" s="37">
        <v>0.15</v>
      </c>
      <c r="N44" s="37">
        <v>0.15</v>
      </c>
      <c r="O44" s="37">
        <v>0.15</v>
      </c>
      <c r="P44" s="37">
        <v>0.15</v>
      </c>
      <c r="Q44" s="48">
        <v>0.15</v>
      </c>
    </row>
    <row r="45" spans="2:17" ht="15.75" customHeight="1" x14ac:dyDescent="0.2">
      <c r="B45" s="19" t="s">
        <v>55</v>
      </c>
      <c r="C45" s="224"/>
      <c r="D45" s="224"/>
      <c r="E45" s="20" t="s">
        <v>11</v>
      </c>
      <c r="F45" s="21"/>
      <c r="G45" s="21"/>
      <c r="H45" s="21"/>
      <c r="I45" s="21"/>
      <c r="J45" s="21"/>
      <c r="K45" s="21"/>
      <c r="L45" s="21">
        <v>0.2</v>
      </c>
      <c r="M45" s="21">
        <v>0.2</v>
      </c>
      <c r="N45" s="21">
        <v>0.2</v>
      </c>
      <c r="O45" s="21">
        <v>0.25</v>
      </c>
      <c r="P45" s="21">
        <v>0.25</v>
      </c>
      <c r="Q45" s="22">
        <v>0.25</v>
      </c>
    </row>
    <row r="46" spans="2:17" ht="15.75" customHeight="1" x14ac:dyDescent="0.2">
      <c r="B46" s="23"/>
      <c r="C46" s="224"/>
      <c r="D46" s="224"/>
      <c r="E46" s="20" t="s">
        <v>12</v>
      </c>
      <c r="F46" s="21"/>
      <c r="G46" s="21"/>
      <c r="H46" s="24"/>
      <c r="I46" s="14"/>
      <c r="J46" s="16"/>
      <c r="K46" s="15"/>
      <c r="L46" s="14"/>
      <c r="M46" s="16"/>
      <c r="N46" s="15"/>
      <c r="O46" s="14"/>
      <c r="P46" s="16"/>
      <c r="Q46" s="25"/>
    </row>
    <row r="47" spans="2:17" ht="15.75" customHeight="1" x14ac:dyDescent="0.2"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</row>
    <row r="48" spans="2:17" ht="15.75" customHeight="1" x14ac:dyDescent="0.2"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</row>
    <row r="49" spans="2:17" ht="15.75" customHeight="1" x14ac:dyDescent="0.2"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</row>
    <row r="50" spans="2:17" ht="15.75" customHeight="1" x14ac:dyDescent="0.2"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</row>
    <row r="51" spans="2:17" ht="15.75" customHeight="1" x14ac:dyDescent="0.2">
      <c r="B51" s="27"/>
      <c r="C51" s="225"/>
      <c r="D51" s="225"/>
      <c r="E51" s="28" t="s">
        <v>17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</row>
    <row r="52" spans="2:17" ht="15.75" customHeight="1" x14ac:dyDescent="0.2">
      <c r="B52" s="76"/>
      <c r="C52" s="45"/>
      <c r="D52" s="45"/>
      <c r="E52" s="45"/>
      <c r="F52" s="33">
        <f t="shared" ref="F52:Q52" si="4">SUM(F44:F51)</f>
        <v>0</v>
      </c>
      <c r="G52" s="33">
        <f t="shared" si="4"/>
        <v>0</v>
      </c>
      <c r="H52" s="33">
        <f t="shared" si="4"/>
        <v>0</v>
      </c>
      <c r="I52" s="33">
        <f t="shared" si="4"/>
        <v>0.15</v>
      </c>
      <c r="J52" s="33">
        <f t="shared" si="4"/>
        <v>0.15</v>
      </c>
      <c r="K52" s="33">
        <f t="shared" si="4"/>
        <v>0.15</v>
      </c>
      <c r="L52" s="33">
        <f t="shared" si="4"/>
        <v>0.35</v>
      </c>
      <c r="M52" s="33">
        <f t="shared" si="4"/>
        <v>0.35</v>
      </c>
      <c r="N52" s="33">
        <f t="shared" si="4"/>
        <v>0.35</v>
      </c>
      <c r="O52" s="33">
        <f t="shared" si="4"/>
        <v>0.4</v>
      </c>
      <c r="P52" s="33">
        <f t="shared" si="4"/>
        <v>0.4</v>
      </c>
      <c r="Q52" s="33">
        <f t="shared" si="4"/>
        <v>0.4</v>
      </c>
    </row>
    <row r="53" spans="2:17" ht="15.75" customHeight="1" x14ac:dyDescent="0.2">
      <c r="B53" s="35" t="s">
        <v>82</v>
      </c>
      <c r="C53" s="223" t="s">
        <v>38</v>
      </c>
      <c r="D53" s="223" t="s">
        <v>38</v>
      </c>
      <c r="E53" s="36" t="s">
        <v>9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48"/>
    </row>
    <row r="54" spans="2:17" ht="15.75" customHeight="1" x14ac:dyDescent="0.2">
      <c r="B54" s="19"/>
      <c r="C54" s="224"/>
      <c r="D54" s="224"/>
      <c r="E54" s="20" t="s">
        <v>11</v>
      </c>
      <c r="F54" s="21"/>
      <c r="G54" s="21"/>
      <c r="H54" s="21"/>
      <c r="I54" s="21"/>
      <c r="J54" s="21"/>
      <c r="K54" s="21"/>
      <c r="L54" s="21"/>
      <c r="M54" s="21"/>
      <c r="N54" s="21"/>
      <c r="O54" s="21">
        <v>0.4</v>
      </c>
      <c r="P54" s="21">
        <v>0.4</v>
      </c>
      <c r="Q54" s="22">
        <v>0.04</v>
      </c>
    </row>
    <row r="55" spans="2:17" ht="15.75" customHeight="1" x14ac:dyDescent="0.2">
      <c r="B55" s="23"/>
      <c r="C55" s="224"/>
      <c r="D55" s="224"/>
      <c r="E55" s="20" t="s">
        <v>12</v>
      </c>
      <c r="F55" s="21"/>
      <c r="G55" s="21"/>
      <c r="H55" s="24"/>
      <c r="I55" s="14"/>
      <c r="J55" s="16"/>
      <c r="K55" s="15"/>
      <c r="L55" s="14"/>
      <c r="M55" s="16"/>
      <c r="N55" s="15"/>
      <c r="O55" s="14"/>
      <c r="P55" s="16"/>
      <c r="Q55" s="25"/>
    </row>
    <row r="56" spans="2:17" ht="15.75" customHeight="1" x14ac:dyDescent="0.2"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</row>
    <row r="57" spans="2:17" ht="15.75" customHeight="1" x14ac:dyDescent="0.2"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</row>
    <row r="58" spans="2:17" ht="15.75" customHeight="1" x14ac:dyDescent="0.2"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</row>
    <row r="59" spans="2:17" ht="15.75" customHeight="1" x14ac:dyDescent="0.2"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</row>
    <row r="60" spans="2:17" ht="15.75" customHeight="1" x14ac:dyDescent="0.2">
      <c r="B60" s="27"/>
      <c r="C60" s="225"/>
      <c r="D60" s="225"/>
      <c r="E60" s="28" t="s">
        <v>17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0"/>
    </row>
    <row r="61" spans="2:17" ht="15.75" customHeight="1" x14ac:dyDescent="0.2">
      <c r="B61" s="76"/>
      <c r="C61" s="45"/>
      <c r="D61" s="45"/>
      <c r="E61" s="45"/>
      <c r="F61" s="33">
        <f t="shared" ref="F61:Q61" si="5">SUM(F53:F60)</f>
        <v>0</v>
      </c>
      <c r="G61" s="33">
        <f t="shared" si="5"/>
        <v>0</v>
      </c>
      <c r="H61" s="33">
        <f t="shared" si="5"/>
        <v>0</v>
      </c>
      <c r="I61" s="33">
        <f t="shared" si="5"/>
        <v>0</v>
      </c>
      <c r="J61" s="33">
        <f t="shared" si="5"/>
        <v>0</v>
      </c>
      <c r="K61" s="33">
        <f t="shared" si="5"/>
        <v>0</v>
      </c>
      <c r="L61" s="33">
        <f t="shared" si="5"/>
        <v>0</v>
      </c>
      <c r="M61" s="33">
        <f t="shared" si="5"/>
        <v>0</v>
      </c>
      <c r="N61" s="33">
        <f t="shared" si="5"/>
        <v>0</v>
      </c>
      <c r="O61" s="33">
        <f t="shared" si="5"/>
        <v>0.4</v>
      </c>
      <c r="P61" s="33">
        <f t="shared" si="5"/>
        <v>0.4</v>
      </c>
      <c r="Q61" s="33">
        <f t="shared" si="5"/>
        <v>0.04</v>
      </c>
    </row>
    <row r="62" spans="2:17" ht="15.75" customHeight="1" x14ac:dyDescent="0.2">
      <c r="B62" s="35" t="s">
        <v>83</v>
      </c>
      <c r="C62" s="223" t="s">
        <v>8</v>
      </c>
      <c r="D62" s="223" t="s">
        <v>42</v>
      </c>
      <c r="E62" s="36" t="s">
        <v>9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48"/>
    </row>
    <row r="63" spans="2:17" ht="15.75" customHeight="1" x14ac:dyDescent="0.2">
      <c r="B63" s="19"/>
      <c r="C63" s="224"/>
      <c r="D63" s="224"/>
      <c r="E63" s="20" t="s">
        <v>11</v>
      </c>
      <c r="F63" s="21"/>
      <c r="G63" s="21"/>
      <c r="H63" s="21"/>
      <c r="I63" s="21">
        <v>0.05</v>
      </c>
      <c r="J63" s="21">
        <v>0.05</v>
      </c>
      <c r="K63" s="21">
        <v>0.05</v>
      </c>
      <c r="L63" s="21">
        <v>0.1</v>
      </c>
      <c r="M63" s="21">
        <v>0.1</v>
      </c>
      <c r="N63" s="21">
        <v>0.1</v>
      </c>
      <c r="O63" s="21">
        <v>0.1</v>
      </c>
      <c r="P63" s="21">
        <v>0.05</v>
      </c>
      <c r="Q63" s="22">
        <v>0.05</v>
      </c>
    </row>
    <row r="64" spans="2:17" ht="15.75" customHeight="1" x14ac:dyDescent="0.2">
      <c r="B64" s="23"/>
      <c r="C64" s="224"/>
      <c r="D64" s="224"/>
      <c r="E64" s="20" t="s">
        <v>12</v>
      </c>
      <c r="F64" s="21"/>
      <c r="G64" s="21"/>
      <c r="H64" s="24"/>
      <c r="I64" s="14"/>
      <c r="J64" s="16"/>
      <c r="K64" s="15"/>
      <c r="L64" s="14"/>
      <c r="M64" s="16"/>
      <c r="N64" s="15"/>
      <c r="O64" s="14"/>
      <c r="P64" s="16"/>
      <c r="Q64" s="25"/>
    </row>
    <row r="65" spans="2:17" ht="15.75" customHeight="1" x14ac:dyDescent="0.2">
      <c r="B65" s="23"/>
      <c r="C65" s="224"/>
      <c r="D65" s="224"/>
      <c r="E65" s="20" t="s">
        <v>13</v>
      </c>
      <c r="F65" s="21"/>
      <c r="G65" s="21"/>
      <c r="H65" s="24"/>
      <c r="I65" s="14"/>
      <c r="J65" s="16"/>
      <c r="K65" s="15">
        <v>0.05</v>
      </c>
      <c r="L65" s="14">
        <v>0.05</v>
      </c>
      <c r="M65" s="16">
        <v>0.1</v>
      </c>
      <c r="N65" s="15">
        <v>0.15</v>
      </c>
      <c r="O65" s="14">
        <v>0.15</v>
      </c>
      <c r="P65" s="16">
        <v>0.1</v>
      </c>
      <c r="Q65" s="25">
        <v>0.1</v>
      </c>
    </row>
    <row r="66" spans="2:17" ht="15.75" customHeight="1" x14ac:dyDescent="0.2">
      <c r="B66" s="23"/>
      <c r="C66" s="224"/>
      <c r="D66" s="224"/>
      <c r="E66" s="20" t="s">
        <v>14</v>
      </c>
      <c r="F66" s="21"/>
      <c r="G66" s="21"/>
      <c r="H66" s="24"/>
      <c r="I66" s="14"/>
      <c r="J66" s="16"/>
      <c r="K66" s="15"/>
      <c r="L66" s="14"/>
      <c r="M66" s="16"/>
      <c r="N66" s="15"/>
      <c r="O66" s="14">
        <v>0.05</v>
      </c>
      <c r="P66" s="16">
        <v>0.05</v>
      </c>
      <c r="Q66" s="25">
        <v>0.05</v>
      </c>
    </row>
    <row r="67" spans="2:17" ht="15.75" customHeight="1" x14ac:dyDescent="0.2">
      <c r="B67" s="23"/>
      <c r="C67" s="224"/>
      <c r="D67" s="224"/>
      <c r="E67" s="20" t="s">
        <v>15</v>
      </c>
      <c r="F67" s="21"/>
      <c r="G67" s="21"/>
      <c r="H67" s="24"/>
      <c r="I67" s="14"/>
      <c r="J67" s="16"/>
      <c r="K67" s="15"/>
      <c r="L67" s="14"/>
      <c r="M67" s="16"/>
      <c r="N67" s="15"/>
      <c r="O67" s="14"/>
      <c r="P67" s="16">
        <v>0.1</v>
      </c>
      <c r="Q67" s="25">
        <v>0.1</v>
      </c>
    </row>
    <row r="68" spans="2:17" ht="15.75" customHeight="1" x14ac:dyDescent="0.2">
      <c r="B68" s="23"/>
      <c r="C68" s="224"/>
      <c r="D68" s="224"/>
      <c r="E68" s="20" t="s">
        <v>16</v>
      </c>
      <c r="F68" s="21"/>
      <c r="G68" s="21"/>
      <c r="H68" s="24"/>
      <c r="I68" s="14"/>
      <c r="J68" s="16"/>
      <c r="K68" s="15"/>
      <c r="L68" s="14"/>
      <c r="M68" s="16"/>
      <c r="N68" s="15"/>
      <c r="O68" s="14"/>
      <c r="P68" s="16"/>
      <c r="Q68" s="25"/>
    </row>
    <row r="69" spans="2:17" ht="15.75" customHeight="1" x14ac:dyDescent="0.2">
      <c r="B69" s="27"/>
      <c r="C69" s="225"/>
      <c r="D69" s="225"/>
      <c r="E69" s="28" t="s">
        <v>17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0"/>
    </row>
    <row r="70" spans="2:17" ht="15.75" customHeight="1" x14ac:dyDescent="0.2">
      <c r="B70" s="76"/>
      <c r="C70" s="45"/>
      <c r="D70" s="45"/>
      <c r="E70" s="45"/>
      <c r="F70" s="33">
        <f t="shared" ref="F70:Q70" si="6">SUM(F62:F69)</f>
        <v>0</v>
      </c>
      <c r="G70" s="33">
        <f t="shared" si="6"/>
        <v>0</v>
      </c>
      <c r="H70" s="33">
        <f t="shared" si="6"/>
        <v>0</v>
      </c>
      <c r="I70" s="33">
        <f t="shared" si="6"/>
        <v>0.05</v>
      </c>
      <c r="J70" s="33">
        <f t="shared" si="6"/>
        <v>0.05</v>
      </c>
      <c r="K70" s="33">
        <f t="shared" si="6"/>
        <v>0.1</v>
      </c>
      <c r="L70" s="33">
        <f t="shared" si="6"/>
        <v>0.15000000000000002</v>
      </c>
      <c r="M70" s="33">
        <f t="shared" si="6"/>
        <v>0.2</v>
      </c>
      <c r="N70" s="33">
        <f t="shared" si="6"/>
        <v>0.25</v>
      </c>
      <c r="O70" s="33">
        <f t="shared" si="6"/>
        <v>0.3</v>
      </c>
      <c r="P70" s="33">
        <f t="shared" si="6"/>
        <v>0.30000000000000004</v>
      </c>
      <c r="Q70" s="33">
        <f t="shared" si="6"/>
        <v>0.30000000000000004</v>
      </c>
    </row>
    <row r="71" spans="2:17" ht="15.75" customHeight="1" x14ac:dyDescent="0.2">
      <c r="B71" s="35" t="s">
        <v>46</v>
      </c>
      <c r="C71" s="223" t="s">
        <v>8</v>
      </c>
      <c r="D71" s="223" t="s">
        <v>8</v>
      </c>
      <c r="E71" s="36" t="s">
        <v>9</v>
      </c>
      <c r="F71" s="37"/>
      <c r="G71" s="37"/>
      <c r="H71" s="37"/>
      <c r="I71" s="37"/>
      <c r="J71" s="37"/>
      <c r="K71" s="37">
        <v>0.05</v>
      </c>
      <c r="L71" s="37">
        <v>0.05</v>
      </c>
      <c r="M71" s="37">
        <v>0.1</v>
      </c>
      <c r="N71" s="37">
        <v>0.1</v>
      </c>
      <c r="O71" s="37">
        <v>0.1</v>
      </c>
      <c r="P71" s="37">
        <v>0.1</v>
      </c>
      <c r="Q71" s="48">
        <v>0.1</v>
      </c>
    </row>
    <row r="72" spans="2:17" ht="15.75" customHeight="1" x14ac:dyDescent="0.2">
      <c r="B72" s="19"/>
      <c r="C72" s="224"/>
      <c r="D72" s="224"/>
      <c r="E72" s="20" t="s">
        <v>11</v>
      </c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2"/>
    </row>
    <row r="73" spans="2:17" ht="15.75" customHeight="1" x14ac:dyDescent="0.2">
      <c r="B73" s="23"/>
      <c r="C73" s="224"/>
      <c r="D73" s="224"/>
      <c r="E73" s="20" t="s">
        <v>12</v>
      </c>
      <c r="F73" s="21"/>
      <c r="G73" s="21"/>
      <c r="H73" s="24"/>
      <c r="I73" s="14"/>
      <c r="J73" s="16"/>
      <c r="K73" s="15">
        <v>0.05</v>
      </c>
      <c r="L73" s="14">
        <v>0.05</v>
      </c>
      <c r="M73" s="16">
        <v>0.1</v>
      </c>
      <c r="N73" s="15">
        <v>0.1</v>
      </c>
      <c r="O73" s="14">
        <v>0.1</v>
      </c>
      <c r="P73" s="16">
        <v>0.1</v>
      </c>
      <c r="Q73" s="25">
        <v>0.1</v>
      </c>
    </row>
    <row r="74" spans="2:17" ht="15.75" customHeight="1" x14ac:dyDescent="0.2">
      <c r="B74" s="23"/>
      <c r="C74" s="224"/>
      <c r="D74" s="224"/>
      <c r="E74" s="20" t="s">
        <v>13</v>
      </c>
      <c r="F74" s="21"/>
      <c r="G74" s="21"/>
      <c r="H74" s="24"/>
      <c r="I74" s="14"/>
      <c r="J74" s="16"/>
      <c r="K74" s="15"/>
      <c r="L74" s="14"/>
      <c r="M74" s="16"/>
      <c r="N74" s="15"/>
      <c r="O74" s="14"/>
      <c r="P74" s="16"/>
      <c r="Q74" s="25"/>
    </row>
    <row r="75" spans="2:17" ht="15.75" customHeight="1" x14ac:dyDescent="0.2">
      <c r="B75" s="23"/>
      <c r="C75" s="224"/>
      <c r="D75" s="224"/>
      <c r="E75" s="20" t="s">
        <v>14</v>
      </c>
      <c r="F75" s="21"/>
      <c r="G75" s="21"/>
      <c r="H75" s="24"/>
      <c r="I75" s="14"/>
      <c r="J75" s="16"/>
      <c r="K75" s="15"/>
      <c r="L75" s="14"/>
      <c r="M75" s="16"/>
      <c r="N75" s="15"/>
      <c r="O75" s="14"/>
      <c r="P75" s="16"/>
      <c r="Q75" s="25"/>
    </row>
    <row r="76" spans="2:17" ht="15.75" customHeight="1" x14ac:dyDescent="0.2">
      <c r="B76" s="23"/>
      <c r="C76" s="224"/>
      <c r="D76" s="224"/>
      <c r="E76" s="20" t="s">
        <v>15</v>
      </c>
      <c r="F76" s="21"/>
      <c r="G76" s="21"/>
      <c r="H76" s="24"/>
      <c r="I76" s="14"/>
      <c r="J76" s="16"/>
      <c r="K76" s="15"/>
      <c r="L76" s="14"/>
      <c r="M76" s="16"/>
      <c r="N76" s="15"/>
      <c r="O76" s="14"/>
      <c r="P76" s="16"/>
      <c r="Q76" s="25"/>
    </row>
    <row r="77" spans="2:17" ht="15.75" customHeight="1" x14ac:dyDescent="0.2">
      <c r="B77" s="23"/>
      <c r="C77" s="224"/>
      <c r="D77" s="224"/>
      <c r="E77" s="20" t="s">
        <v>16</v>
      </c>
      <c r="F77" s="21"/>
      <c r="G77" s="21"/>
      <c r="H77" s="24"/>
      <c r="I77" s="14"/>
      <c r="J77" s="16"/>
      <c r="K77" s="15"/>
      <c r="L77" s="14"/>
      <c r="M77" s="16"/>
      <c r="N77" s="15"/>
      <c r="O77" s="14"/>
      <c r="P77" s="16"/>
      <c r="Q77" s="25"/>
    </row>
    <row r="78" spans="2:17" ht="15.75" customHeight="1" x14ac:dyDescent="0.2">
      <c r="B78" s="27"/>
      <c r="C78" s="225"/>
      <c r="D78" s="225"/>
      <c r="E78" s="28" t="s">
        <v>17</v>
      </c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30"/>
    </row>
    <row r="79" spans="2:17" ht="15.75" customHeight="1" x14ac:dyDescent="0.2">
      <c r="B79" s="76"/>
      <c r="C79" s="45"/>
      <c r="D79" s="45"/>
      <c r="E79" s="45"/>
      <c r="F79" s="33">
        <f t="shared" ref="F79:Q79" si="7">SUM(F71:F78)</f>
        <v>0</v>
      </c>
      <c r="G79" s="33">
        <f t="shared" si="7"/>
        <v>0</v>
      </c>
      <c r="H79" s="33">
        <f t="shared" si="7"/>
        <v>0</v>
      </c>
      <c r="I79" s="33">
        <f t="shared" si="7"/>
        <v>0</v>
      </c>
      <c r="J79" s="33">
        <f t="shared" si="7"/>
        <v>0</v>
      </c>
      <c r="K79" s="33">
        <f t="shared" si="7"/>
        <v>0.1</v>
      </c>
      <c r="L79" s="33">
        <f t="shared" si="7"/>
        <v>0.1</v>
      </c>
      <c r="M79" s="33">
        <f t="shared" si="7"/>
        <v>0.2</v>
      </c>
      <c r="N79" s="33">
        <f t="shared" si="7"/>
        <v>0.2</v>
      </c>
      <c r="O79" s="33">
        <f t="shared" si="7"/>
        <v>0.2</v>
      </c>
      <c r="P79" s="33">
        <f t="shared" si="7"/>
        <v>0.2</v>
      </c>
      <c r="Q79" s="33">
        <f t="shared" si="7"/>
        <v>0.2</v>
      </c>
    </row>
    <row r="80" spans="2:17" ht="15.75" customHeight="1" x14ac:dyDescent="0.2">
      <c r="B80" s="35" t="s">
        <v>84</v>
      </c>
      <c r="C80" s="223" t="s">
        <v>8</v>
      </c>
      <c r="D80" s="223" t="s">
        <v>8</v>
      </c>
      <c r="E80" s="36" t="s">
        <v>9</v>
      </c>
      <c r="F80" s="37"/>
      <c r="G80" s="37"/>
      <c r="H80" s="37"/>
      <c r="I80" s="37"/>
      <c r="J80" s="37">
        <v>0.1</v>
      </c>
      <c r="K80" s="37">
        <v>0.1</v>
      </c>
      <c r="L80" s="37">
        <v>0.1</v>
      </c>
      <c r="M80" s="37">
        <v>0.1</v>
      </c>
      <c r="N80" s="37">
        <v>0.1</v>
      </c>
      <c r="O80" s="37">
        <v>0.1</v>
      </c>
      <c r="P80" s="37">
        <v>0.1</v>
      </c>
      <c r="Q80" s="48">
        <v>0.1</v>
      </c>
    </row>
    <row r="81" spans="2:17" ht="15.75" customHeight="1" x14ac:dyDescent="0.2">
      <c r="B81" s="19"/>
      <c r="C81" s="224"/>
      <c r="D81" s="224"/>
      <c r="E81" s="20" t="s">
        <v>11</v>
      </c>
      <c r="F81" s="21"/>
      <c r="G81" s="21"/>
      <c r="H81" s="21"/>
      <c r="I81" s="21"/>
      <c r="J81" s="21"/>
      <c r="K81" s="21"/>
      <c r="L81" s="21"/>
      <c r="M81" s="21"/>
      <c r="N81" s="21">
        <v>0.05</v>
      </c>
      <c r="O81" s="21">
        <v>0.05</v>
      </c>
      <c r="P81" s="21">
        <v>0.05</v>
      </c>
      <c r="Q81" s="22"/>
    </row>
    <row r="82" spans="2:17" ht="15.75" customHeight="1" x14ac:dyDescent="0.2">
      <c r="B82" s="23"/>
      <c r="C82" s="224"/>
      <c r="D82" s="224"/>
      <c r="E82" s="20" t="s">
        <v>12</v>
      </c>
      <c r="F82" s="21"/>
      <c r="G82" s="21"/>
      <c r="H82" s="24"/>
      <c r="I82" s="14"/>
      <c r="J82" s="16"/>
      <c r="K82" s="15"/>
      <c r="L82" s="14"/>
      <c r="M82" s="16"/>
      <c r="N82" s="15"/>
      <c r="O82" s="14">
        <v>0.05</v>
      </c>
      <c r="P82" s="16">
        <v>0.05</v>
      </c>
      <c r="Q82" s="25">
        <v>0.05</v>
      </c>
    </row>
    <row r="83" spans="2:17" ht="15.75" customHeight="1" x14ac:dyDescent="0.2">
      <c r="B83" s="23"/>
      <c r="C83" s="224"/>
      <c r="D83" s="224"/>
      <c r="E83" s="20" t="s">
        <v>13</v>
      </c>
      <c r="F83" s="21"/>
      <c r="G83" s="21"/>
      <c r="H83" s="24"/>
      <c r="I83" s="14"/>
      <c r="J83" s="16"/>
      <c r="K83" s="15"/>
      <c r="L83" s="14"/>
      <c r="M83" s="16"/>
      <c r="N83" s="15"/>
      <c r="O83" s="14"/>
      <c r="P83" s="16"/>
      <c r="Q83" s="25"/>
    </row>
    <row r="84" spans="2:17" ht="15.75" customHeight="1" x14ac:dyDescent="0.2">
      <c r="B84" s="23"/>
      <c r="C84" s="224"/>
      <c r="D84" s="224"/>
      <c r="E84" s="20" t="s">
        <v>14</v>
      </c>
      <c r="F84" s="21">
        <v>0</v>
      </c>
      <c r="G84" s="21">
        <v>0</v>
      </c>
      <c r="H84" s="24"/>
      <c r="I84" s="14"/>
      <c r="J84" s="16">
        <v>0.1</v>
      </c>
      <c r="K84" s="15">
        <v>0.1</v>
      </c>
      <c r="L84" s="14">
        <v>0.1</v>
      </c>
      <c r="M84" s="16">
        <v>0.1</v>
      </c>
      <c r="N84" s="15">
        <v>0.1</v>
      </c>
      <c r="O84" s="14">
        <v>0.1</v>
      </c>
      <c r="P84" s="16">
        <v>0.1</v>
      </c>
      <c r="Q84" s="25">
        <v>0.1</v>
      </c>
    </row>
    <row r="85" spans="2:17" ht="15.75" customHeight="1" x14ac:dyDescent="0.2">
      <c r="B85" s="23"/>
      <c r="C85" s="224"/>
      <c r="D85" s="224"/>
      <c r="E85" s="20" t="s">
        <v>15</v>
      </c>
      <c r="F85" s="21"/>
      <c r="G85" s="21"/>
      <c r="H85" s="24"/>
      <c r="I85" s="14"/>
      <c r="J85" s="16"/>
      <c r="K85" s="15"/>
      <c r="L85" s="14"/>
      <c r="M85" s="16"/>
      <c r="N85" s="15"/>
      <c r="O85" s="14"/>
      <c r="P85" s="16"/>
      <c r="Q85" s="25"/>
    </row>
    <row r="86" spans="2:17" ht="15.75" customHeight="1" x14ac:dyDescent="0.2">
      <c r="B86" s="23"/>
      <c r="C86" s="224"/>
      <c r="D86" s="224"/>
      <c r="E86" s="20" t="s">
        <v>16</v>
      </c>
      <c r="F86" s="21"/>
      <c r="G86" s="21"/>
      <c r="H86" s="24"/>
      <c r="I86" s="14"/>
      <c r="J86" s="16"/>
      <c r="K86" s="15"/>
      <c r="L86" s="14"/>
      <c r="M86" s="16"/>
      <c r="N86" s="15"/>
      <c r="O86" s="14"/>
      <c r="P86" s="16"/>
      <c r="Q86" s="25"/>
    </row>
    <row r="87" spans="2:17" ht="15.75" customHeight="1" x14ac:dyDescent="0.2">
      <c r="B87" s="27"/>
      <c r="C87" s="225"/>
      <c r="D87" s="225"/>
      <c r="E87" s="28" t="s">
        <v>17</v>
      </c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30"/>
    </row>
    <row r="88" spans="2:17" ht="15.75" customHeight="1" x14ac:dyDescent="0.2">
      <c r="B88" s="76"/>
      <c r="C88" s="45"/>
      <c r="D88" s="45"/>
      <c r="E88" s="45"/>
      <c r="F88" s="33">
        <f t="shared" ref="F88:Q88" si="8">SUM(F80:F87)</f>
        <v>0</v>
      </c>
      <c r="G88" s="33">
        <f t="shared" si="8"/>
        <v>0</v>
      </c>
      <c r="H88" s="33">
        <f t="shared" si="8"/>
        <v>0</v>
      </c>
      <c r="I88" s="33">
        <f t="shared" si="8"/>
        <v>0</v>
      </c>
      <c r="J88" s="33">
        <f t="shared" si="8"/>
        <v>0.2</v>
      </c>
      <c r="K88" s="33">
        <f t="shared" si="8"/>
        <v>0.2</v>
      </c>
      <c r="L88" s="33">
        <f t="shared" si="8"/>
        <v>0.2</v>
      </c>
      <c r="M88" s="33">
        <f t="shared" si="8"/>
        <v>0.2</v>
      </c>
      <c r="N88" s="33">
        <f t="shared" si="8"/>
        <v>0.25</v>
      </c>
      <c r="O88" s="33">
        <f t="shared" si="8"/>
        <v>0.30000000000000004</v>
      </c>
      <c r="P88" s="33">
        <f t="shared" si="8"/>
        <v>0.30000000000000004</v>
      </c>
      <c r="Q88" s="33">
        <f t="shared" si="8"/>
        <v>0.25</v>
      </c>
    </row>
    <row r="89" spans="2:17" ht="15.75" customHeight="1" x14ac:dyDescent="0.2">
      <c r="B89" s="35" t="s">
        <v>21</v>
      </c>
      <c r="C89" s="223" t="s">
        <v>8</v>
      </c>
      <c r="D89" s="223" t="s">
        <v>42</v>
      </c>
      <c r="E89" s="36" t="s">
        <v>9</v>
      </c>
      <c r="F89" s="37"/>
      <c r="G89" s="37"/>
      <c r="H89" s="37">
        <v>0.05</v>
      </c>
      <c r="I89" s="37">
        <v>0.05</v>
      </c>
      <c r="J89" s="37">
        <v>0.05</v>
      </c>
      <c r="K89" s="37">
        <v>0.1</v>
      </c>
      <c r="L89" s="37">
        <v>0.1</v>
      </c>
      <c r="M89" s="37">
        <v>0.1</v>
      </c>
      <c r="N89" s="37">
        <v>0.1</v>
      </c>
      <c r="O89" s="37">
        <v>0.2</v>
      </c>
      <c r="P89" s="37">
        <v>0.2</v>
      </c>
      <c r="Q89" s="48">
        <v>0.2</v>
      </c>
    </row>
    <row r="90" spans="2:17" ht="15.75" customHeight="1" x14ac:dyDescent="0.2">
      <c r="B90" s="19"/>
      <c r="C90" s="224"/>
      <c r="D90" s="224"/>
      <c r="E90" s="20" t="s">
        <v>11</v>
      </c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2"/>
    </row>
    <row r="91" spans="2:17" ht="15.75" customHeight="1" x14ac:dyDescent="0.2"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</row>
    <row r="92" spans="2:17" ht="15.75" customHeight="1" x14ac:dyDescent="0.2">
      <c r="B92" s="23"/>
      <c r="C92" s="224"/>
      <c r="D92" s="224"/>
      <c r="E92" s="20" t="s">
        <v>13</v>
      </c>
      <c r="F92" s="21"/>
      <c r="G92" s="21"/>
      <c r="H92" s="24"/>
      <c r="I92" s="14"/>
      <c r="J92" s="16"/>
      <c r="K92" s="15"/>
      <c r="L92" s="14"/>
      <c r="M92" s="16"/>
      <c r="N92" s="15"/>
      <c r="O92" s="14"/>
      <c r="P92" s="16"/>
      <c r="Q92" s="25"/>
    </row>
    <row r="93" spans="2:17" ht="15.75" customHeight="1" x14ac:dyDescent="0.2">
      <c r="B93" s="23"/>
      <c r="C93" s="224"/>
      <c r="D93" s="224"/>
      <c r="E93" s="20" t="s">
        <v>14</v>
      </c>
      <c r="F93" s="21"/>
      <c r="G93" s="21"/>
      <c r="H93" s="24"/>
      <c r="I93" s="14"/>
      <c r="J93" s="16"/>
      <c r="K93" s="15"/>
      <c r="L93" s="14"/>
      <c r="M93" s="16"/>
      <c r="N93" s="15"/>
      <c r="O93" s="14"/>
      <c r="P93" s="16"/>
      <c r="Q93" s="25"/>
    </row>
    <row r="94" spans="2:17" ht="15.75" customHeight="1" x14ac:dyDescent="0.2">
      <c r="B94" s="23"/>
      <c r="C94" s="224"/>
      <c r="D94" s="224"/>
      <c r="E94" s="20" t="s">
        <v>15</v>
      </c>
      <c r="F94" s="21"/>
      <c r="G94" s="21"/>
      <c r="H94" s="24"/>
      <c r="I94" s="14"/>
      <c r="J94" s="16"/>
      <c r="K94" s="15"/>
      <c r="L94" s="14"/>
      <c r="M94" s="16"/>
      <c r="N94" s="15"/>
      <c r="O94" s="14"/>
      <c r="P94" s="16"/>
      <c r="Q94" s="25"/>
    </row>
    <row r="95" spans="2:17" ht="15.75" customHeight="1" x14ac:dyDescent="0.2">
      <c r="B95" s="23"/>
      <c r="C95" s="224"/>
      <c r="D95" s="224"/>
      <c r="E95" s="20" t="s">
        <v>16</v>
      </c>
      <c r="F95" s="21"/>
      <c r="G95" s="21"/>
      <c r="H95" s="24"/>
      <c r="I95" s="14"/>
      <c r="J95" s="16"/>
      <c r="K95" s="15"/>
      <c r="L95" s="14"/>
      <c r="M95" s="16"/>
      <c r="N95" s="15"/>
      <c r="O95" s="14"/>
      <c r="P95" s="16"/>
      <c r="Q95" s="25"/>
    </row>
    <row r="96" spans="2:17" ht="15.75" customHeight="1" x14ac:dyDescent="0.2">
      <c r="B96" s="27"/>
      <c r="C96" s="225"/>
      <c r="D96" s="225"/>
      <c r="E96" s="28" t="s">
        <v>17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0"/>
    </row>
    <row r="97" spans="2:17" ht="15.75" customHeight="1" x14ac:dyDescent="0.2">
      <c r="B97" s="76"/>
      <c r="C97" s="45"/>
      <c r="D97" s="45"/>
      <c r="E97" s="45"/>
      <c r="F97" s="33">
        <f t="shared" ref="F97:Q97" si="9">SUM(F89:F96)</f>
        <v>0</v>
      </c>
      <c r="G97" s="33">
        <f t="shared" si="9"/>
        <v>0</v>
      </c>
      <c r="H97" s="33">
        <f t="shared" si="9"/>
        <v>0.05</v>
      </c>
      <c r="I97" s="33">
        <f t="shared" si="9"/>
        <v>0.05</v>
      </c>
      <c r="J97" s="33">
        <f t="shared" si="9"/>
        <v>0.05</v>
      </c>
      <c r="K97" s="33">
        <f t="shared" si="9"/>
        <v>0.1</v>
      </c>
      <c r="L97" s="33">
        <f t="shared" si="9"/>
        <v>0.1</v>
      </c>
      <c r="M97" s="33">
        <f t="shared" si="9"/>
        <v>0.1</v>
      </c>
      <c r="N97" s="33">
        <f t="shared" si="9"/>
        <v>0.1</v>
      </c>
      <c r="O97" s="33">
        <f t="shared" si="9"/>
        <v>0.2</v>
      </c>
      <c r="P97" s="33">
        <f t="shared" si="9"/>
        <v>0.2</v>
      </c>
      <c r="Q97" s="33">
        <f t="shared" si="9"/>
        <v>0.2</v>
      </c>
    </row>
    <row r="98" spans="2:17" ht="15.75" customHeight="1" x14ac:dyDescent="0.2"/>
    <row r="99" spans="2:17" ht="15.75" customHeight="1" x14ac:dyDescent="0.2">
      <c r="B99" s="82"/>
      <c r="C99" s="12"/>
      <c r="D99" s="12"/>
      <c r="E99" s="83" t="s">
        <v>85</v>
      </c>
      <c r="F99" s="84"/>
      <c r="G99" s="84"/>
      <c r="H99" s="84"/>
      <c r="I99" s="84"/>
      <c r="J99" s="84"/>
      <c r="K99" s="85" t="s">
        <v>86</v>
      </c>
      <c r="L99" s="86" t="s">
        <v>87</v>
      </c>
      <c r="M99" s="86" t="s">
        <v>88</v>
      </c>
      <c r="N99" s="86" t="s">
        <v>89</v>
      </c>
      <c r="O99" s="86" t="s">
        <v>90</v>
      </c>
      <c r="P99" s="86" t="s">
        <v>91</v>
      </c>
      <c r="Q99" s="87" t="s">
        <v>92</v>
      </c>
    </row>
    <row r="100" spans="2:17" ht="15.75" customHeight="1" x14ac:dyDescent="0.2">
      <c r="K100" s="1" t="s">
        <v>93</v>
      </c>
      <c r="L100" s="88" t="s">
        <v>94</v>
      </c>
    </row>
    <row r="101" spans="2:17" ht="15.75" customHeight="1" x14ac:dyDescent="0.2">
      <c r="K101" s="1" t="s">
        <v>95</v>
      </c>
      <c r="L101" s="1" t="s">
        <v>96</v>
      </c>
    </row>
    <row r="102" spans="2:17" ht="15.75" customHeight="1" x14ac:dyDescent="0.2">
      <c r="N102" s="88" t="s">
        <v>97</v>
      </c>
    </row>
    <row r="103" spans="2:17" ht="15.75" customHeight="1" x14ac:dyDescent="0.2">
      <c r="N103" s="88" t="s">
        <v>98</v>
      </c>
    </row>
    <row r="104" spans="2:17" ht="15.75" customHeight="1" x14ac:dyDescent="0.2"/>
    <row r="105" spans="2:17" ht="15.75" customHeight="1" x14ac:dyDescent="0.2"/>
    <row r="106" spans="2:17" ht="15.75" customHeight="1" x14ac:dyDescent="0.2"/>
    <row r="107" spans="2:17" ht="15.75" customHeight="1" x14ac:dyDescent="0.2"/>
    <row r="108" spans="2:17" ht="15.75" customHeight="1" x14ac:dyDescent="0.2"/>
    <row r="109" spans="2:17" ht="15.75" customHeight="1" x14ac:dyDescent="0.2"/>
    <row r="110" spans="2:17" ht="15.75" customHeight="1" x14ac:dyDescent="0.2"/>
    <row r="111" spans="2:17" ht="15.75" customHeight="1" x14ac:dyDescent="0.2"/>
    <row r="112" spans="2:17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</sheetData>
  <mergeCells count="24">
    <mergeCell ref="B2:Q2"/>
    <mergeCell ref="B3:Q3"/>
    <mergeCell ref="B4:Q4"/>
    <mergeCell ref="B5:Q5"/>
    <mergeCell ref="C8:C15"/>
    <mergeCell ref="D8:D15"/>
    <mergeCell ref="D17:D24"/>
    <mergeCell ref="C17:C24"/>
    <mergeCell ref="C26:C33"/>
    <mergeCell ref="D26:D33"/>
    <mergeCell ref="C35:C42"/>
    <mergeCell ref="D35:D42"/>
    <mergeCell ref="C44:C51"/>
    <mergeCell ref="D44:D51"/>
    <mergeCell ref="C80:C87"/>
    <mergeCell ref="C89:C96"/>
    <mergeCell ref="D89:D96"/>
    <mergeCell ref="C53:C60"/>
    <mergeCell ref="D53:D60"/>
    <mergeCell ref="C62:C69"/>
    <mergeCell ref="D62:D69"/>
    <mergeCell ref="C71:C78"/>
    <mergeCell ref="D71:D78"/>
    <mergeCell ref="D80:D87"/>
  </mergeCells>
  <conditionalFormatting sqref="B8 D8">
    <cfRule type="expression" dxfId="299" priority="1">
      <formula>#REF!="Total"</formula>
    </cfRule>
  </conditionalFormatting>
  <conditionalFormatting sqref="B8:B15">
    <cfRule type="expression" dxfId="298" priority="2">
      <formula>$E8="Total"</formula>
    </cfRule>
  </conditionalFormatting>
  <conditionalFormatting sqref="B17:B24">
    <cfRule type="expression" dxfId="297" priority="3">
      <formula>$E17="Total"</formula>
    </cfRule>
  </conditionalFormatting>
  <conditionalFormatting sqref="B26:B33">
    <cfRule type="expression" dxfId="296" priority="4">
      <formula>$E26="Total"</formula>
    </cfRule>
  </conditionalFormatting>
  <conditionalFormatting sqref="B35:B42">
    <cfRule type="expression" dxfId="295" priority="5">
      <formula>$E35="Total"</formula>
    </cfRule>
  </conditionalFormatting>
  <conditionalFormatting sqref="B44:B51">
    <cfRule type="expression" dxfId="294" priority="6">
      <formula>$E44="Total"</formula>
    </cfRule>
  </conditionalFormatting>
  <conditionalFormatting sqref="B53:B60">
    <cfRule type="expression" dxfId="293" priority="7">
      <formula>$E53="Total"</formula>
    </cfRule>
  </conditionalFormatting>
  <conditionalFormatting sqref="B62:B69">
    <cfRule type="expression" dxfId="292" priority="8">
      <formula>$E62="Total"</formula>
    </cfRule>
  </conditionalFormatting>
  <conditionalFormatting sqref="B71:B78">
    <cfRule type="expression" dxfId="291" priority="41">
      <formula>$E71="Total"</formula>
    </cfRule>
  </conditionalFormatting>
  <conditionalFormatting sqref="B80:B87 B99">
    <cfRule type="expression" dxfId="290" priority="47">
      <formula>$E80="Total"</formula>
    </cfRule>
  </conditionalFormatting>
  <conditionalFormatting sqref="B89:B96">
    <cfRule type="expression" dxfId="289" priority="53">
      <formula>$E89="Total"</formula>
    </cfRule>
  </conditionalFormatting>
  <conditionalFormatting sqref="B7:Q7 E9:E14 F10:H14 E15:Q15 E18:E23 F19:H23 E24:Q24 E27:E32 E33:Q33">
    <cfRule type="expression" dxfId="288" priority="9">
      <formula>$E7="Total"</formula>
    </cfRule>
  </conditionalFormatting>
  <conditionalFormatting sqref="B16:Q16 F25:Q27 F34:Q36 F43:Q45 F52:Q54 F61:Q63 F70:Q72 F79:Q81 F87:Q90 F96:Q97">
    <cfRule type="expression" dxfId="287" priority="10">
      <formula>$E16="Total"</formula>
    </cfRule>
  </conditionalFormatting>
  <conditionalFormatting sqref="B25:Q25">
    <cfRule type="expression" dxfId="286" priority="11">
      <formula>$E25="Total"</formula>
    </cfRule>
  </conditionalFormatting>
  <conditionalFormatting sqref="B34:Q34">
    <cfRule type="expression" dxfId="285" priority="12">
      <formula>$E34="Total"</formula>
    </cfRule>
  </conditionalFormatting>
  <conditionalFormatting sqref="B43:Q43">
    <cfRule type="expression" dxfId="284" priority="13">
      <formula>$E43="Total"</formula>
    </cfRule>
  </conditionalFormatting>
  <conditionalFormatting sqref="B52:Q52">
    <cfRule type="expression" dxfId="283" priority="14">
      <formula>$E52="Total"</formula>
    </cfRule>
  </conditionalFormatting>
  <conditionalFormatting sqref="B61:Q61">
    <cfRule type="expression" dxfId="282" priority="15">
      <formula>$E61="Total"</formula>
    </cfRule>
  </conditionalFormatting>
  <conditionalFormatting sqref="B70:Q70">
    <cfRule type="expression" dxfId="281" priority="16">
      <formula>$E70="Total"</formula>
    </cfRule>
  </conditionalFormatting>
  <conditionalFormatting sqref="B79:Q79">
    <cfRule type="expression" dxfId="280" priority="46">
      <formula>$E79="Total"</formula>
    </cfRule>
  </conditionalFormatting>
  <conditionalFormatting sqref="B88:Q88 B97:Q97">
    <cfRule type="expression" dxfId="279" priority="52">
      <formula>$E88="Total"</formula>
    </cfRule>
  </conditionalFormatting>
  <conditionalFormatting sqref="C26:E26">
    <cfRule type="expression" dxfId="278" priority="17">
      <formula>$E26="Total"</formula>
    </cfRule>
  </conditionalFormatting>
  <conditionalFormatting sqref="C35:E35">
    <cfRule type="expression" dxfId="277" priority="18">
      <formula>$E35="Total"</formula>
    </cfRule>
  </conditionalFormatting>
  <conditionalFormatting sqref="C44:E44">
    <cfRule type="expression" dxfId="276" priority="19">
      <formula>$E44="Total"</formula>
    </cfRule>
  </conditionalFormatting>
  <conditionalFormatting sqref="C53:E53">
    <cfRule type="expression" dxfId="275" priority="20">
      <formula>$E53="Total"</formula>
    </cfRule>
  </conditionalFormatting>
  <conditionalFormatting sqref="C62:E62">
    <cfRule type="expression" dxfId="274" priority="21">
      <formula>$E62="Total"</formula>
    </cfRule>
  </conditionalFormatting>
  <conditionalFormatting sqref="C71:E71">
    <cfRule type="expression" dxfId="273" priority="42">
      <formula>$E71="Total"</formula>
    </cfRule>
  </conditionalFormatting>
  <conditionalFormatting sqref="C80:E80">
    <cfRule type="expression" dxfId="272" priority="48">
      <formula>$E80="Total"</formula>
    </cfRule>
  </conditionalFormatting>
  <conditionalFormatting sqref="C89:E89">
    <cfRule type="expression" dxfId="271" priority="54">
      <formula>$E89="Total"</formula>
    </cfRule>
  </conditionalFormatting>
  <conditionalFormatting sqref="C8:H8">
    <cfRule type="expression" dxfId="270" priority="22">
      <formula>$E8="Total"</formula>
    </cfRule>
  </conditionalFormatting>
  <conditionalFormatting sqref="C17:H17">
    <cfRule type="expression" dxfId="269" priority="23">
      <formula>$E17="Total"</formula>
    </cfRule>
  </conditionalFormatting>
  <conditionalFormatting sqref="E36:E41 E42:Q42">
    <cfRule type="expression" dxfId="268" priority="24">
      <formula>$E36="Total"</formula>
    </cfRule>
  </conditionalFormatting>
  <conditionalFormatting sqref="E45:E50 E51:Q51">
    <cfRule type="expression" dxfId="267" priority="25">
      <formula>$E45="Total"</formula>
    </cfRule>
  </conditionalFormatting>
  <conditionalFormatting sqref="E54:E59 E60:Q60">
    <cfRule type="expression" dxfId="266" priority="26">
      <formula>$E54="Total"</formula>
    </cfRule>
  </conditionalFormatting>
  <conditionalFormatting sqref="E63:E68 E69:Q69">
    <cfRule type="expression" dxfId="265" priority="27">
      <formula>$E63="Total"</formula>
    </cfRule>
  </conditionalFormatting>
  <conditionalFormatting sqref="E72:E77 E78:Q78">
    <cfRule type="expression" dxfId="264" priority="43">
      <formula>$E72="Total"</formula>
    </cfRule>
  </conditionalFormatting>
  <conditionalFormatting sqref="E81:E87 E99:Q99">
    <cfRule type="expression" dxfId="263" priority="49">
      <formula>$E81="Total"</formula>
    </cfRule>
  </conditionalFormatting>
  <conditionalFormatting sqref="E90:E96">
    <cfRule type="expression" dxfId="262" priority="55">
      <formula>$E90="Total"</formula>
    </cfRule>
  </conditionalFormatting>
  <conditionalFormatting sqref="F28:H32">
    <cfRule type="expression" dxfId="261" priority="28">
      <formula>$E28="Total"</formula>
    </cfRule>
  </conditionalFormatting>
  <conditionalFormatting sqref="F37:H41">
    <cfRule type="expression" dxfId="260" priority="29">
      <formula>$E37="Total"</formula>
    </cfRule>
  </conditionalFormatting>
  <conditionalFormatting sqref="F46:H50">
    <cfRule type="expression" dxfId="259" priority="30">
      <formula>$E46="Total"</formula>
    </cfRule>
  </conditionalFormatting>
  <conditionalFormatting sqref="F55:H59">
    <cfRule type="expression" dxfId="258" priority="31">
      <formula>$E55="Total"</formula>
    </cfRule>
  </conditionalFormatting>
  <conditionalFormatting sqref="F64:H68">
    <cfRule type="expression" dxfId="257" priority="32">
      <formula>$E64="Total"</formula>
    </cfRule>
  </conditionalFormatting>
  <conditionalFormatting sqref="F73:H77">
    <cfRule type="expression" dxfId="256" priority="44">
      <formula>$E73="Total"</formula>
    </cfRule>
  </conditionalFormatting>
  <conditionalFormatting sqref="F82:H86">
    <cfRule type="expression" dxfId="255" priority="50">
      <formula>$E82="Total"</formula>
    </cfRule>
  </conditionalFormatting>
  <conditionalFormatting sqref="F91:H95">
    <cfRule type="expression" dxfId="254" priority="56">
      <formula>$E91="Total"</formula>
    </cfRule>
  </conditionalFormatting>
  <conditionalFormatting sqref="F9:Q9">
    <cfRule type="expression" dxfId="253" priority="33">
      <formula>$E9="Total"</formula>
    </cfRule>
  </conditionalFormatting>
  <conditionalFormatting sqref="F18:Q18">
    <cfRule type="expression" dxfId="252" priority="34">
      <formula>$E18="Total"</formula>
    </cfRule>
  </conditionalFormatting>
  <conditionalFormatting sqref="I23:Q23">
    <cfRule type="expression" dxfId="251" priority="40">
      <formula>$E23="Total"</formula>
    </cfRule>
  </conditionalFormatting>
  <hyperlinks>
    <hyperlink ref="K99" r:id="rId1" xr:uid="{00000000-0004-0000-0300-000000000000}"/>
    <hyperlink ref="L100" r:id="rId2" location="slide=id.g1d2de81a806_0_0" xr:uid="{00000000-0004-0000-0300-000001000000}"/>
    <hyperlink ref="N102" r:id="rId3" xr:uid="{00000000-0004-0000-0300-000002000000}"/>
    <hyperlink ref="N103" r:id="rId4" xr:uid="{00000000-0004-0000-0300-000003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832031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 x14ac:dyDescent="0.2"/>
  <cols>
    <col min="1" max="1" width="3.83203125" customWidth="1"/>
    <col min="2" max="2" width="28.6640625" customWidth="1"/>
    <col min="3" max="4" width="14.6640625" customWidth="1"/>
    <col min="5" max="5" width="40.6640625" customWidth="1"/>
    <col min="6" max="8" width="8.6640625" customWidth="1"/>
    <col min="9" max="17" width="8.83203125" customWidth="1"/>
    <col min="18" max="26" width="8.6640625" customWidth="1"/>
  </cols>
  <sheetData>
    <row r="1" spans="1:26" ht="12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">
      <c r="A2" s="4"/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">
      <c r="A3" s="4"/>
      <c r="B3" s="229" t="s">
        <v>99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 x14ac:dyDescent="0.2">
      <c r="A4" s="4"/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 x14ac:dyDescent="0.2">
      <c r="A5" s="4"/>
      <c r="B5" s="232" t="s">
        <v>3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 x14ac:dyDescent="0.2">
      <c r="A6" s="4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spans="1:26" ht="63.75" customHeight="1" x14ac:dyDescent="0.2">
      <c r="A7" s="4"/>
      <c r="B7" s="8" t="s">
        <v>4</v>
      </c>
      <c r="C7" s="9" t="s">
        <v>5</v>
      </c>
      <c r="D7" s="9" t="s">
        <v>6</v>
      </c>
      <c r="E7" s="10"/>
      <c r="F7" s="2">
        <v>44378</v>
      </c>
      <c r="G7" s="2">
        <v>44409</v>
      </c>
      <c r="H7" s="2">
        <v>44440</v>
      </c>
      <c r="I7" s="2">
        <v>44470</v>
      </c>
      <c r="J7" s="2">
        <v>44501</v>
      </c>
      <c r="K7" s="2">
        <v>44531</v>
      </c>
      <c r="L7" s="2">
        <v>44562</v>
      </c>
      <c r="M7" s="2">
        <v>44593</v>
      </c>
      <c r="N7" s="2">
        <v>44621</v>
      </c>
      <c r="O7" s="2">
        <v>44652</v>
      </c>
      <c r="P7" s="2">
        <v>44682</v>
      </c>
      <c r="Q7" s="3">
        <v>44713</v>
      </c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 x14ac:dyDescent="0.2">
      <c r="A8" s="4"/>
      <c r="B8" s="11" t="s">
        <v>7</v>
      </c>
      <c r="C8" s="235" t="s">
        <v>67</v>
      </c>
      <c r="D8" s="235"/>
      <c r="E8" s="13" t="s">
        <v>9</v>
      </c>
      <c r="F8" s="14"/>
      <c r="G8" s="14"/>
      <c r="H8" s="15"/>
      <c r="I8" s="14"/>
      <c r="J8" s="16"/>
      <c r="K8" s="17"/>
      <c r="L8" s="14"/>
      <c r="M8" s="16"/>
      <c r="N8" s="17"/>
      <c r="O8" s="14"/>
      <c r="P8" s="16"/>
      <c r="Q8" s="18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 x14ac:dyDescent="0.2">
      <c r="A9" s="4"/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 x14ac:dyDescent="0.2">
      <c r="A10" s="4"/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x14ac:dyDescent="0.2">
      <c r="A11" s="4"/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x14ac:dyDescent="0.2">
      <c r="A12" s="4"/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 x14ac:dyDescent="0.2">
      <c r="A13" s="4"/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 x14ac:dyDescent="0.2">
      <c r="A14" s="4"/>
      <c r="B14" s="23"/>
      <c r="C14" s="224"/>
      <c r="D14" s="224"/>
      <c r="E14" s="20" t="s">
        <v>16</v>
      </c>
      <c r="F14" s="21">
        <v>0.05</v>
      </c>
      <c r="G14" s="21">
        <v>0.05</v>
      </c>
      <c r="H14" s="24">
        <v>0.05</v>
      </c>
      <c r="I14" s="14">
        <v>0.02</v>
      </c>
      <c r="J14" s="16">
        <v>0.02</v>
      </c>
      <c r="K14" s="15">
        <v>0.02</v>
      </c>
      <c r="L14" s="14">
        <v>0.02</v>
      </c>
      <c r="M14" s="16">
        <v>0.02</v>
      </c>
      <c r="N14" s="15">
        <v>0.02</v>
      </c>
      <c r="O14" s="14">
        <v>0.02</v>
      </c>
      <c r="P14" s="16">
        <v>0.02</v>
      </c>
      <c r="Q14" s="25">
        <v>0.02</v>
      </c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 x14ac:dyDescent="0.2">
      <c r="A15" s="26"/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 x14ac:dyDescent="0.2">
      <c r="A16" s="4"/>
      <c r="B16" s="31" t="str">
        <f>B8</f>
        <v>Beau Leese</v>
      </c>
      <c r="C16" s="32"/>
      <c r="D16" s="32"/>
      <c r="E16" s="32" t="s">
        <v>18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 x14ac:dyDescent="0.2">
      <c r="A17" s="4"/>
      <c r="B17" s="35" t="s">
        <v>19</v>
      </c>
      <c r="C17" s="223" t="s">
        <v>67</v>
      </c>
      <c r="D17" s="223"/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 x14ac:dyDescent="0.2">
      <c r="A18" s="4"/>
      <c r="B18" s="19" t="s">
        <v>20</v>
      </c>
      <c r="C18" s="224"/>
      <c r="D18" s="224"/>
      <c r="E18" s="20" t="s">
        <v>11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2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 x14ac:dyDescent="0.2">
      <c r="A19" s="4"/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 x14ac:dyDescent="0.2">
      <c r="A20" s="4"/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 x14ac:dyDescent="0.2">
      <c r="A21" s="4"/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 x14ac:dyDescent="0.2">
      <c r="A22" s="4"/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 x14ac:dyDescent="0.2">
      <c r="A23" s="4"/>
      <c r="B23" s="23"/>
      <c r="C23" s="224"/>
      <c r="D23" s="224"/>
      <c r="E23" s="20" t="s">
        <v>16</v>
      </c>
      <c r="F23" s="21">
        <v>5.2900000000000003E-2</v>
      </c>
      <c r="G23" s="21">
        <v>5.2900000000000003E-2</v>
      </c>
      <c r="H23" s="21">
        <v>5.2900000000000003E-2</v>
      </c>
      <c r="I23" s="21">
        <v>5.2900000000000003E-2</v>
      </c>
      <c r="J23" s="21">
        <v>5.2900000000000003E-2</v>
      </c>
      <c r="K23" s="21">
        <v>5.2900000000000003E-2</v>
      </c>
      <c r="L23" s="21">
        <v>5.2900000000000003E-2</v>
      </c>
      <c r="M23" s="21">
        <v>5.2900000000000003E-2</v>
      </c>
      <c r="N23" s="21">
        <v>5.2900000000000003E-2</v>
      </c>
      <c r="O23" s="21">
        <v>5.2900000000000003E-2</v>
      </c>
      <c r="P23" s="21">
        <v>5.2900000000000003E-2</v>
      </c>
      <c r="Q23" s="22">
        <v>5.2900000000000003E-2</v>
      </c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 x14ac:dyDescent="0.2">
      <c r="A24" s="26"/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 x14ac:dyDescent="0.2">
      <c r="A25" s="4"/>
      <c r="B25" s="42" t="str">
        <f>B17</f>
        <v>Suzy Watson</v>
      </c>
      <c r="C25" s="43"/>
      <c r="D25" s="43"/>
      <c r="E25" s="44" t="s">
        <v>18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 x14ac:dyDescent="0.2">
      <c r="A26" s="4"/>
      <c r="B26" s="35" t="s">
        <v>21</v>
      </c>
      <c r="C26" s="223" t="s">
        <v>38</v>
      </c>
      <c r="D26" s="223"/>
      <c r="E26" s="36" t="s">
        <v>9</v>
      </c>
      <c r="F26" s="37"/>
      <c r="G26" s="37"/>
      <c r="H26" s="38"/>
      <c r="I26" s="37"/>
      <c r="J26" s="39"/>
      <c r="K26" s="40"/>
      <c r="L26" s="37"/>
      <c r="M26" s="39"/>
      <c r="N26" s="40"/>
      <c r="O26" s="37"/>
      <c r="P26" s="39"/>
      <c r="Q26" s="41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 x14ac:dyDescent="0.2">
      <c r="A27" s="4"/>
      <c r="B27" s="19" t="s">
        <v>22</v>
      </c>
      <c r="C27" s="224"/>
      <c r="D27" s="224"/>
      <c r="E27" s="20" t="s">
        <v>11</v>
      </c>
      <c r="F27" s="21"/>
      <c r="G27" s="21"/>
      <c r="H27" s="24"/>
      <c r="I27" s="21"/>
      <c r="J27" s="21"/>
      <c r="K27" s="21"/>
      <c r="L27" s="21"/>
      <c r="M27" s="21"/>
      <c r="N27" s="21"/>
      <c r="O27" s="21"/>
      <c r="P27" s="21"/>
      <c r="Q27" s="22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 x14ac:dyDescent="0.2">
      <c r="A28" s="4"/>
      <c r="B28" s="23"/>
      <c r="C28" s="224"/>
      <c r="D28" s="224"/>
      <c r="E28" s="20" t="s">
        <v>12</v>
      </c>
      <c r="F28" s="21"/>
      <c r="G28" s="21"/>
      <c r="H28" s="24"/>
      <c r="I28" s="14"/>
      <c r="J28" s="16"/>
      <c r="K28" s="15"/>
      <c r="L28" s="14"/>
      <c r="M28" s="16"/>
      <c r="N28" s="15"/>
      <c r="O28" s="14"/>
      <c r="P28" s="16"/>
      <c r="Q28" s="2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 x14ac:dyDescent="0.2">
      <c r="A29" s="4"/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 x14ac:dyDescent="0.2">
      <c r="A30" s="4"/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 x14ac:dyDescent="0.2">
      <c r="A31" s="4"/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 x14ac:dyDescent="0.2">
      <c r="A32" s="4"/>
      <c r="B32" s="23"/>
      <c r="C32" s="224"/>
      <c r="D32" s="224"/>
      <c r="E32" s="20" t="s">
        <v>16</v>
      </c>
      <c r="F32" s="21">
        <v>0.8</v>
      </c>
      <c r="G32" s="21">
        <v>0.8</v>
      </c>
      <c r="H32" s="24">
        <v>0.8</v>
      </c>
      <c r="I32" s="14">
        <v>0.8</v>
      </c>
      <c r="J32" s="14">
        <v>0.8</v>
      </c>
      <c r="K32" s="14">
        <v>0.8</v>
      </c>
      <c r="L32" s="14">
        <v>0.8</v>
      </c>
      <c r="M32" s="14">
        <v>0.8</v>
      </c>
      <c r="N32" s="14">
        <v>0.8</v>
      </c>
      <c r="O32" s="14">
        <v>0.8</v>
      </c>
      <c r="P32" s="14">
        <v>0.8</v>
      </c>
      <c r="Q32" s="22">
        <v>0.8</v>
      </c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 x14ac:dyDescent="0.2">
      <c r="A33" s="4"/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 x14ac:dyDescent="0.2">
      <c r="A34" s="4"/>
      <c r="B34" s="42" t="str">
        <f>B26</f>
        <v>Anthony Watson</v>
      </c>
      <c r="C34" s="43"/>
      <c r="D34" s="43"/>
      <c r="E34" s="44" t="s">
        <v>18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 x14ac:dyDescent="0.2">
      <c r="A35" s="4"/>
      <c r="B35" s="35" t="s">
        <v>23</v>
      </c>
      <c r="C35" s="223" t="s">
        <v>38</v>
      </c>
      <c r="D35" s="223"/>
      <c r="E35" s="36" t="s">
        <v>9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48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 x14ac:dyDescent="0.2">
      <c r="A36" s="4"/>
      <c r="B36" s="19" t="s">
        <v>24</v>
      </c>
      <c r="C36" s="224"/>
      <c r="D36" s="224"/>
      <c r="E36" s="20" t="s">
        <v>11</v>
      </c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2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">
      <c r="A37" s="4"/>
      <c r="B37" s="23"/>
      <c r="C37" s="224"/>
      <c r="D37" s="224"/>
      <c r="E37" s="20" t="s">
        <v>12</v>
      </c>
      <c r="F37" s="21">
        <v>0.56999999999999995</v>
      </c>
      <c r="G37" s="21">
        <v>0.56999999999999995</v>
      </c>
      <c r="H37" s="24">
        <v>0.56999999999999995</v>
      </c>
      <c r="I37" s="14">
        <v>0.65</v>
      </c>
      <c r="J37" s="16">
        <v>0.65</v>
      </c>
      <c r="K37" s="15">
        <v>0.65</v>
      </c>
      <c r="L37" s="14">
        <v>0.59</v>
      </c>
      <c r="M37" s="16">
        <v>0.59</v>
      </c>
      <c r="N37" s="15">
        <v>0.59</v>
      </c>
      <c r="O37" s="14">
        <v>0.77</v>
      </c>
      <c r="P37" s="16">
        <v>0.77</v>
      </c>
      <c r="Q37" s="25">
        <v>0.77</v>
      </c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 x14ac:dyDescent="0.2">
      <c r="A38" s="4"/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 x14ac:dyDescent="0.2">
      <c r="A39" s="4"/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 x14ac:dyDescent="0.2">
      <c r="A40" s="4"/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 x14ac:dyDescent="0.2">
      <c r="A41" s="4"/>
      <c r="B41" s="23"/>
      <c r="C41" s="224"/>
      <c r="D41" s="224"/>
      <c r="E41" s="20" t="s">
        <v>16</v>
      </c>
      <c r="F41" s="21"/>
      <c r="G41" s="21"/>
      <c r="H41" s="24"/>
      <c r="I41" s="14"/>
      <c r="J41" s="16"/>
      <c r="K41" s="15"/>
      <c r="L41" s="14"/>
      <c r="M41" s="16"/>
      <c r="N41" s="15"/>
      <c r="O41" s="14"/>
      <c r="P41" s="16"/>
      <c r="Q41" s="2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 x14ac:dyDescent="0.2">
      <c r="A42" s="4"/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 x14ac:dyDescent="0.2">
      <c r="A43" s="4"/>
      <c r="B43" s="42"/>
      <c r="C43" s="43"/>
      <c r="D43" s="43"/>
      <c r="E43" s="44" t="s">
        <v>18</v>
      </c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6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 x14ac:dyDescent="0.2">
      <c r="A44" s="4"/>
      <c r="B44" s="35" t="s">
        <v>25</v>
      </c>
      <c r="C44" s="223" t="s">
        <v>38</v>
      </c>
      <c r="D44" s="223"/>
      <c r="E44" s="13" t="s">
        <v>9</v>
      </c>
      <c r="F44" s="14"/>
      <c r="G44" s="14"/>
      <c r="H44" s="15"/>
      <c r="I44" s="14"/>
      <c r="J44" s="16"/>
      <c r="K44" s="17"/>
      <c r="L44" s="14"/>
      <c r="M44" s="16"/>
      <c r="N44" s="17"/>
      <c r="O44" s="14"/>
      <c r="P44" s="16"/>
      <c r="Q44" s="18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 x14ac:dyDescent="0.2">
      <c r="A45" s="4"/>
      <c r="B45" s="19" t="s">
        <v>26</v>
      </c>
      <c r="C45" s="224"/>
      <c r="D45" s="224"/>
      <c r="E45" s="20" t="s">
        <v>11</v>
      </c>
      <c r="F45" s="21">
        <v>1</v>
      </c>
      <c r="G45" s="21">
        <v>1</v>
      </c>
      <c r="H45" s="24">
        <v>1</v>
      </c>
      <c r="I45" s="21">
        <v>0.85</v>
      </c>
      <c r="J45" s="49">
        <v>0.85</v>
      </c>
      <c r="K45" s="15">
        <v>0.85</v>
      </c>
      <c r="L45" s="21">
        <v>0.88</v>
      </c>
      <c r="M45" s="49">
        <v>0.88</v>
      </c>
      <c r="N45" s="15">
        <v>0.88</v>
      </c>
      <c r="O45" s="21">
        <v>0.91</v>
      </c>
      <c r="P45" s="49">
        <v>0.91</v>
      </c>
      <c r="Q45" s="25">
        <v>0.91</v>
      </c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 x14ac:dyDescent="0.2">
      <c r="A46" s="4"/>
      <c r="B46" s="23"/>
      <c r="C46" s="224"/>
      <c r="D46" s="224"/>
      <c r="E46" s="20" t="s">
        <v>12</v>
      </c>
      <c r="F46" s="21"/>
      <c r="G46" s="21"/>
      <c r="H46" s="24"/>
      <c r="I46" s="14"/>
      <c r="J46" s="16"/>
      <c r="K46" s="15"/>
      <c r="L46" s="14"/>
      <c r="M46" s="16"/>
      <c r="N46" s="15"/>
      <c r="O46" s="14"/>
      <c r="P46" s="16"/>
      <c r="Q46" s="2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 x14ac:dyDescent="0.2">
      <c r="A47" s="4"/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 x14ac:dyDescent="0.2">
      <c r="A48" s="4"/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 x14ac:dyDescent="0.2">
      <c r="A49" s="4"/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 x14ac:dyDescent="0.2">
      <c r="A50" s="4"/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 x14ac:dyDescent="0.2">
      <c r="A51" s="4"/>
      <c r="B51" s="27"/>
      <c r="C51" s="225"/>
      <c r="D51" s="225"/>
      <c r="E51" s="28" t="s">
        <v>17</v>
      </c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30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 x14ac:dyDescent="0.2">
      <c r="A52" s="4"/>
      <c r="B52" s="31"/>
      <c r="C52" s="32"/>
      <c r="D52" s="32"/>
      <c r="E52" s="32" t="s">
        <v>18</v>
      </c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4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 x14ac:dyDescent="0.2">
      <c r="A53" s="4"/>
      <c r="B53" s="35" t="s">
        <v>27</v>
      </c>
      <c r="C53" s="223" t="s">
        <v>38</v>
      </c>
      <c r="D53" s="223"/>
      <c r="E53" s="36" t="s">
        <v>9</v>
      </c>
      <c r="F53" s="37"/>
      <c r="G53" s="37"/>
      <c r="H53" s="38"/>
      <c r="I53" s="37"/>
      <c r="J53" s="39"/>
      <c r="K53" s="40"/>
      <c r="L53" s="37"/>
      <c r="M53" s="39"/>
      <c r="N53" s="40"/>
      <c r="O53" s="37"/>
      <c r="P53" s="39"/>
      <c r="Q53" s="41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 x14ac:dyDescent="0.2">
      <c r="A54" s="4"/>
      <c r="B54" s="19" t="s">
        <v>28</v>
      </c>
      <c r="C54" s="224"/>
      <c r="D54" s="224"/>
      <c r="E54" s="20" t="s">
        <v>11</v>
      </c>
      <c r="F54" s="21"/>
      <c r="G54" s="21"/>
      <c r="H54" s="24"/>
      <c r="I54" s="21"/>
      <c r="J54" s="49"/>
      <c r="K54" s="15"/>
      <c r="L54" s="21"/>
      <c r="M54" s="49"/>
      <c r="N54" s="15"/>
      <c r="O54" s="21"/>
      <c r="P54" s="49"/>
      <c r="Q54" s="2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 x14ac:dyDescent="0.2">
      <c r="A55" s="4"/>
      <c r="B55" s="23"/>
      <c r="C55" s="224"/>
      <c r="D55" s="224"/>
      <c r="E55" s="20" t="s">
        <v>12</v>
      </c>
      <c r="F55" s="21"/>
      <c r="G55" s="21"/>
      <c r="H55" s="24"/>
      <c r="I55" s="14"/>
      <c r="J55" s="16"/>
      <c r="K55" s="15"/>
      <c r="L55" s="14">
        <v>0.4</v>
      </c>
      <c r="M55" s="16">
        <v>0.4</v>
      </c>
      <c r="N55" s="15">
        <v>0.4</v>
      </c>
      <c r="O55" s="14">
        <v>0.4</v>
      </c>
      <c r="P55" s="16">
        <v>0.4</v>
      </c>
      <c r="Q55" s="25">
        <v>0.4</v>
      </c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 x14ac:dyDescent="0.2">
      <c r="A56" s="4"/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 x14ac:dyDescent="0.2">
      <c r="A57" s="4"/>
      <c r="B57" s="23"/>
      <c r="C57" s="224"/>
      <c r="D57" s="224"/>
      <c r="E57" s="20" t="s">
        <v>14</v>
      </c>
      <c r="F57" s="21"/>
      <c r="G57" s="21"/>
      <c r="H57" s="24"/>
      <c r="I57" s="14"/>
      <c r="J57" s="16"/>
      <c r="K57" s="15"/>
      <c r="L57" s="14"/>
      <c r="M57" s="16"/>
      <c r="N57" s="15"/>
      <c r="O57" s="14"/>
      <c r="P57" s="16"/>
      <c r="Q57" s="2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 x14ac:dyDescent="0.2">
      <c r="A58" s="4"/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 x14ac:dyDescent="0.2">
      <c r="A59" s="4"/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 x14ac:dyDescent="0.2">
      <c r="A60" s="4"/>
      <c r="B60" s="27"/>
      <c r="C60" s="225"/>
      <c r="D60" s="225"/>
      <c r="E60" s="28" t="s">
        <v>17</v>
      </c>
      <c r="F60" s="29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1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 x14ac:dyDescent="0.2">
      <c r="A61" s="4"/>
      <c r="B61" s="42"/>
      <c r="C61" s="43"/>
      <c r="D61" s="43"/>
      <c r="E61" s="44" t="s">
        <v>18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 x14ac:dyDescent="0.2">
      <c r="A62" s="4"/>
      <c r="B62" s="35" t="s">
        <v>48</v>
      </c>
      <c r="C62" s="223" t="s">
        <v>38</v>
      </c>
      <c r="D62" s="223"/>
      <c r="E62" s="36" t="s">
        <v>9</v>
      </c>
      <c r="F62" s="37"/>
      <c r="G62" s="37"/>
      <c r="H62" s="38"/>
      <c r="I62" s="37"/>
      <c r="J62" s="39"/>
      <c r="K62" s="40"/>
      <c r="L62" s="37"/>
      <c r="M62" s="39"/>
      <c r="N62" s="40"/>
      <c r="O62" s="37"/>
      <c r="P62" s="39"/>
      <c r="Q62" s="41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 x14ac:dyDescent="0.2">
      <c r="A63" s="4"/>
      <c r="B63" s="19" t="s">
        <v>49</v>
      </c>
      <c r="C63" s="224"/>
      <c r="D63" s="224"/>
      <c r="E63" s="20" t="s">
        <v>11</v>
      </c>
      <c r="F63" s="21"/>
      <c r="G63" s="21"/>
      <c r="H63" s="24"/>
      <c r="I63" s="21"/>
      <c r="J63" s="49"/>
      <c r="K63" s="15"/>
      <c r="L63" s="21"/>
      <c r="M63" s="49"/>
      <c r="N63" s="15"/>
      <c r="O63" s="21"/>
      <c r="P63" s="49"/>
      <c r="Q63" s="2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 x14ac:dyDescent="0.2">
      <c r="A64" s="4"/>
      <c r="B64" s="23"/>
      <c r="C64" s="224"/>
      <c r="D64" s="224"/>
      <c r="E64" s="20" t="s">
        <v>12</v>
      </c>
      <c r="F64" s="21"/>
      <c r="G64" s="21"/>
      <c r="H64" s="24"/>
      <c r="I64" s="14"/>
      <c r="J64" s="16"/>
      <c r="K64" s="15"/>
      <c r="L64" s="14"/>
      <c r="M64" s="16"/>
      <c r="N64" s="15"/>
      <c r="O64" s="14"/>
      <c r="P64" s="16"/>
      <c r="Q64" s="2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 x14ac:dyDescent="0.2">
      <c r="A65" s="4"/>
      <c r="B65" s="23"/>
      <c r="C65" s="224"/>
      <c r="D65" s="224"/>
      <c r="E65" s="20" t="s">
        <v>13</v>
      </c>
      <c r="F65" s="21"/>
      <c r="G65" s="21"/>
      <c r="H65" s="24"/>
      <c r="I65" s="14"/>
      <c r="J65" s="16"/>
      <c r="K65" s="15"/>
      <c r="L65" s="14"/>
      <c r="M65" s="16"/>
      <c r="N65" s="15"/>
      <c r="O65" s="14"/>
      <c r="P65" s="16"/>
      <c r="Q65" s="2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 x14ac:dyDescent="0.2">
      <c r="A66" s="4"/>
      <c r="B66" s="23"/>
      <c r="C66" s="224"/>
      <c r="D66" s="224"/>
      <c r="E66" s="20" t="s">
        <v>14</v>
      </c>
      <c r="F66" s="21">
        <v>0.19</v>
      </c>
      <c r="G66" s="21">
        <v>0.19</v>
      </c>
      <c r="H66" s="24">
        <v>0.19</v>
      </c>
      <c r="I66" s="14"/>
      <c r="J66" s="16"/>
      <c r="K66" s="15"/>
      <c r="L66" s="14"/>
      <c r="M66" s="16"/>
      <c r="N66" s="15"/>
      <c r="O66" s="14"/>
      <c r="P66" s="16"/>
      <c r="Q66" s="2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 x14ac:dyDescent="0.2">
      <c r="A67" s="4"/>
      <c r="B67" s="23"/>
      <c r="C67" s="224"/>
      <c r="D67" s="224"/>
      <c r="E67" s="20" t="s">
        <v>15</v>
      </c>
      <c r="F67" s="21"/>
      <c r="G67" s="21"/>
      <c r="H67" s="24"/>
      <c r="I67" s="14"/>
      <c r="J67" s="16"/>
      <c r="K67" s="15"/>
      <c r="L67" s="14"/>
      <c r="M67" s="16"/>
      <c r="N67" s="15"/>
      <c r="O67" s="14"/>
      <c r="P67" s="16"/>
      <c r="Q67" s="2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 x14ac:dyDescent="0.2">
      <c r="A68" s="4"/>
      <c r="B68" s="23"/>
      <c r="C68" s="224"/>
      <c r="D68" s="224"/>
      <c r="E68" s="20" t="s">
        <v>16</v>
      </c>
      <c r="F68" s="21"/>
      <c r="G68" s="21"/>
      <c r="H68" s="24"/>
      <c r="I68" s="14"/>
      <c r="J68" s="16"/>
      <c r="K68" s="15"/>
      <c r="L68" s="14"/>
      <c r="M68" s="16"/>
      <c r="N68" s="15"/>
      <c r="O68" s="14"/>
      <c r="P68" s="16"/>
      <c r="Q68" s="2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 x14ac:dyDescent="0.2">
      <c r="A69" s="4"/>
      <c r="B69" s="27"/>
      <c r="C69" s="225"/>
      <c r="D69" s="225"/>
      <c r="E69" s="28" t="s">
        <v>17</v>
      </c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30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 x14ac:dyDescent="0.2">
      <c r="A70" s="4"/>
      <c r="B70" s="42"/>
      <c r="C70" s="43"/>
      <c r="D70" s="43"/>
      <c r="E70" s="44" t="s">
        <v>18</v>
      </c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6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 x14ac:dyDescent="0.2">
      <c r="A71" s="4"/>
      <c r="B71" s="35" t="s">
        <v>50</v>
      </c>
      <c r="C71" s="223"/>
      <c r="D71" s="223" t="s">
        <v>38</v>
      </c>
      <c r="E71" s="36" t="s">
        <v>9</v>
      </c>
      <c r="F71" s="60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41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 x14ac:dyDescent="0.2">
      <c r="A72" s="4"/>
      <c r="B72" s="19" t="s">
        <v>51</v>
      </c>
      <c r="C72" s="224"/>
      <c r="D72" s="224"/>
      <c r="E72" s="20" t="s">
        <v>11</v>
      </c>
      <c r="F72" s="56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 x14ac:dyDescent="0.2">
      <c r="A73" s="4"/>
      <c r="B73" s="23"/>
      <c r="C73" s="224"/>
      <c r="D73" s="224"/>
      <c r="E73" s="20" t="s">
        <v>12</v>
      </c>
      <c r="F73" s="56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 x14ac:dyDescent="0.2">
      <c r="A74" s="4"/>
      <c r="B74" s="23"/>
      <c r="C74" s="224"/>
      <c r="D74" s="224"/>
      <c r="E74" s="20" t="s">
        <v>13</v>
      </c>
      <c r="F74" s="56"/>
      <c r="G74" s="21"/>
      <c r="H74" s="21"/>
      <c r="I74" s="21">
        <v>0.43</v>
      </c>
      <c r="J74" s="21">
        <v>0.43</v>
      </c>
      <c r="K74" s="21">
        <v>0.43</v>
      </c>
      <c r="L74" s="21">
        <v>0.78</v>
      </c>
      <c r="M74" s="21">
        <v>0.78</v>
      </c>
      <c r="N74" s="21">
        <v>0.78</v>
      </c>
      <c r="O74" s="21">
        <v>1</v>
      </c>
      <c r="P74" s="21">
        <v>1</v>
      </c>
      <c r="Q74" s="25">
        <v>1</v>
      </c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 x14ac:dyDescent="0.2">
      <c r="A75" s="4"/>
      <c r="B75" s="23"/>
      <c r="C75" s="224"/>
      <c r="D75" s="224"/>
      <c r="E75" s="20" t="s">
        <v>14</v>
      </c>
      <c r="F75" s="56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 x14ac:dyDescent="0.2">
      <c r="A76" s="4"/>
      <c r="B76" s="23"/>
      <c r="C76" s="224"/>
      <c r="D76" s="224"/>
      <c r="E76" s="20" t="s">
        <v>15</v>
      </c>
      <c r="F76" s="56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 x14ac:dyDescent="0.2">
      <c r="A77" s="4"/>
      <c r="B77" s="23"/>
      <c r="C77" s="224"/>
      <c r="D77" s="224"/>
      <c r="E77" s="20" t="s">
        <v>16</v>
      </c>
      <c r="F77" s="56"/>
      <c r="G77" s="21"/>
      <c r="H77" s="24"/>
      <c r="I77" s="14"/>
      <c r="J77" s="16"/>
      <c r="K77" s="15"/>
      <c r="L77" s="14"/>
      <c r="M77" s="16"/>
      <c r="N77" s="15"/>
      <c r="O77" s="14"/>
      <c r="P77" s="16"/>
      <c r="Q77" s="2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 x14ac:dyDescent="0.2">
      <c r="A78" s="4"/>
      <c r="B78" s="27"/>
      <c r="C78" s="225"/>
      <c r="D78" s="225"/>
      <c r="E78" s="28" t="s">
        <v>17</v>
      </c>
      <c r="F78" s="5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51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 x14ac:dyDescent="0.2">
      <c r="A79" s="4"/>
      <c r="B79" s="42"/>
      <c r="C79" s="43"/>
      <c r="D79" s="43"/>
      <c r="E79" s="44" t="s">
        <v>18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6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 x14ac:dyDescent="0.2">
      <c r="A80" s="4"/>
      <c r="B80" s="35" t="s">
        <v>29</v>
      </c>
      <c r="C80" s="223" t="s">
        <v>38</v>
      </c>
      <c r="D80" s="223"/>
      <c r="E80" s="13" t="s">
        <v>9</v>
      </c>
      <c r="F80" s="52"/>
      <c r="G80" s="52"/>
      <c r="H80" s="53"/>
      <c r="I80" s="52"/>
      <c r="J80" s="54"/>
      <c r="K80" s="55"/>
      <c r="L80" s="52"/>
      <c r="M80" s="16"/>
      <c r="N80" s="17"/>
      <c r="O80" s="14"/>
      <c r="P80" s="16"/>
      <c r="Q80" s="18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 x14ac:dyDescent="0.2">
      <c r="A81" s="4"/>
      <c r="B81" s="19" t="s">
        <v>30</v>
      </c>
      <c r="C81" s="224"/>
      <c r="D81" s="224"/>
      <c r="E81" s="20" t="s">
        <v>11</v>
      </c>
      <c r="F81" s="56">
        <v>0.92300000000000004</v>
      </c>
      <c r="G81" s="56">
        <v>0.92300000000000004</v>
      </c>
      <c r="H81" s="57">
        <v>0.92300000000000004</v>
      </c>
      <c r="I81" s="56">
        <v>0.86</v>
      </c>
      <c r="J81" s="58">
        <v>0.86</v>
      </c>
      <c r="K81" s="53">
        <v>0.86</v>
      </c>
      <c r="L81" s="56">
        <v>0.9</v>
      </c>
      <c r="M81" s="49">
        <v>0.9</v>
      </c>
      <c r="N81" s="15">
        <v>0.9</v>
      </c>
      <c r="O81" s="21">
        <v>0.93</v>
      </c>
      <c r="P81" s="49">
        <v>0.93</v>
      </c>
      <c r="Q81" s="25">
        <v>0.93</v>
      </c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 x14ac:dyDescent="0.2">
      <c r="A82" s="4"/>
      <c r="B82" s="23"/>
      <c r="C82" s="224"/>
      <c r="D82" s="224"/>
      <c r="E82" s="20" t="s">
        <v>12</v>
      </c>
      <c r="F82" s="56"/>
      <c r="G82" s="56"/>
      <c r="H82" s="57"/>
      <c r="I82" s="52"/>
      <c r="J82" s="54"/>
      <c r="K82" s="53"/>
      <c r="L82" s="52"/>
      <c r="M82" s="16"/>
      <c r="N82" s="15"/>
      <c r="O82" s="14"/>
      <c r="P82" s="16"/>
      <c r="Q82" s="2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">
      <c r="A83" s="4"/>
      <c r="B83" s="23"/>
      <c r="C83" s="224"/>
      <c r="D83" s="224"/>
      <c r="E83" s="20" t="s">
        <v>13</v>
      </c>
      <c r="F83" s="56"/>
      <c r="G83" s="56"/>
      <c r="H83" s="57"/>
      <c r="I83" s="52"/>
      <c r="J83" s="54"/>
      <c r="K83" s="53"/>
      <c r="L83" s="52"/>
      <c r="M83" s="16"/>
      <c r="N83" s="15"/>
      <c r="O83" s="14"/>
      <c r="P83" s="16"/>
      <c r="Q83" s="2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 x14ac:dyDescent="0.2">
      <c r="A84" s="4"/>
      <c r="B84" s="23"/>
      <c r="C84" s="224"/>
      <c r="D84" s="224"/>
      <c r="E84" s="20" t="s">
        <v>14</v>
      </c>
      <c r="F84" s="56"/>
      <c r="G84" s="56"/>
      <c r="H84" s="57"/>
      <c r="I84" s="52"/>
      <c r="J84" s="54"/>
      <c r="K84" s="53"/>
      <c r="L84" s="52"/>
      <c r="M84" s="16"/>
      <c r="N84" s="15"/>
      <c r="O84" s="14"/>
      <c r="P84" s="16"/>
      <c r="Q84" s="2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A85" s="4"/>
      <c r="B85" s="23"/>
      <c r="C85" s="224"/>
      <c r="D85" s="224"/>
      <c r="E85" s="20" t="s">
        <v>15</v>
      </c>
      <c r="F85" s="56"/>
      <c r="G85" s="56"/>
      <c r="H85" s="57"/>
      <c r="I85" s="52"/>
      <c r="J85" s="54"/>
      <c r="K85" s="53"/>
      <c r="L85" s="52"/>
      <c r="M85" s="16"/>
      <c r="N85" s="15"/>
      <c r="O85" s="14"/>
      <c r="P85" s="16"/>
      <c r="Q85" s="2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 x14ac:dyDescent="0.2">
      <c r="A86" s="4"/>
      <c r="B86" s="23"/>
      <c r="C86" s="224"/>
      <c r="D86" s="224"/>
      <c r="E86" s="20" t="s">
        <v>16</v>
      </c>
      <c r="F86" s="56"/>
      <c r="G86" s="56"/>
      <c r="H86" s="57"/>
      <c r="I86" s="52"/>
      <c r="J86" s="54"/>
      <c r="K86" s="53"/>
      <c r="L86" s="52"/>
      <c r="M86" s="16"/>
      <c r="N86" s="15"/>
      <c r="O86" s="14"/>
      <c r="P86" s="16"/>
      <c r="Q86" s="2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 x14ac:dyDescent="0.2">
      <c r="A87" s="4"/>
      <c r="B87" s="27"/>
      <c r="C87" s="225"/>
      <c r="D87" s="225"/>
      <c r="E87" s="28" t="s">
        <v>17</v>
      </c>
      <c r="F87" s="59"/>
      <c r="G87" s="59"/>
      <c r="H87" s="59"/>
      <c r="I87" s="59"/>
      <c r="J87" s="59"/>
      <c r="K87" s="59"/>
      <c r="L87" s="59"/>
      <c r="M87" s="29"/>
      <c r="N87" s="29"/>
      <c r="O87" s="29"/>
      <c r="P87" s="29"/>
      <c r="Q87" s="30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 x14ac:dyDescent="0.2">
      <c r="A88" s="4"/>
      <c r="B88" s="31"/>
      <c r="C88" s="32"/>
      <c r="D88" s="32"/>
      <c r="E88" s="32" t="s">
        <v>18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4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 x14ac:dyDescent="0.2">
      <c r="A89" s="4"/>
      <c r="B89" s="35" t="s">
        <v>31</v>
      </c>
      <c r="C89" s="223" t="s">
        <v>38</v>
      </c>
      <c r="D89" s="223"/>
      <c r="E89" s="36" t="s">
        <v>9</v>
      </c>
      <c r="F89" s="60"/>
      <c r="G89" s="60"/>
      <c r="H89" s="79"/>
      <c r="I89" s="60"/>
      <c r="J89" s="80"/>
      <c r="K89" s="81"/>
      <c r="L89" s="60"/>
      <c r="M89" s="39"/>
      <c r="N89" s="40"/>
      <c r="O89" s="37"/>
      <c r="P89" s="39"/>
      <c r="Q89" s="41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 x14ac:dyDescent="0.2">
      <c r="A90" s="4"/>
      <c r="B90" s="19" t="s">
        <v>32</v>
      </c>
      <c r="C90" s="224"/>
      <c r="D90" s="224"/>
      <c r="E90" s="20" t="s">
        <v>11</v>
      </c>
      <c r="F90" s="56">
        <v>0.95</v>
      </c>
      <c r="G90" s="56">
        <v>0.95</v>
      </c>
      <c r="H90" s="57">
        <v>0.95</v>
      </c>
      <c r="I90" s="56">
        <v>0.44</v>
      </c>
      <c r="J90" s="58">
        <v>0.44</v>
      </c>
      <c r="K90" s="53">
        <v>0.44</v>
      </c>
      <c r="L90" s="56">
        <v>0.66</v>
      </c>
      <c r="M90" s="49">
        <v>0.66</v>
      </c>
      <c r="N90" s="15">
        <v>0.66</v>
      </c>
      <c r="O90" s="21">
        <v>0.76</v>
      </c>
      <c r="P90" s="49">
        <v>0.76</v>
      </c>
      <c r="Q90" s="25">
        <v>0.76</v>
      </c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 x14ac:dyDescent="0.2">
      <c r="A91" s="4"/>
      <c r="B91" s="23"/>
      <c r="C91" s="224"/>
      <c r="D91" s="224"/>
      <c r="E91" s="20" t="s">
        <v>12</v>
      </c>
      <c r="F91" s="56"/>
      <c r="G91" s="56"/>
      <c r="H91" s="57"/>
      <c r="I91" s="52"/>
      <c r="J91" s="54"/>
      <c r="K91" s="53"/>
      <c r="L91" s="52"/>
      <c r="M91" s="16"/>
      <c r="N91" s="15"/>
      <c r="O91" s="14"/>
      <c r="P91" s="16"/>
      <c r="Q91" s="2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 x14ac:dyDescent="0.2">
      <c r="A92" s="4"/>
      <c r="B92" s="23"/>
      <c r="C92" s="224"/>
      <c r="D92" s="224"/>
      <c r="E92" s="20" t="s">
        <v>13</v>
      </c>
      <c r="F92" s="56"/>
      <c r="G92" s="56"/>
      <c r="H92" s="57"/>
      <c r="I92" s="52"/>
      <c r="J92" s="54"/>
      <c r="K92" s="53"/>
      <c r="L92" s="52"/>
      <c r="M92" s="16"/>
      <c r="N92" s="15"/>
      <c r="O92" s="14"/>
      <c r="P92" s="16"/>
      <c r="Q92" s="2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 x14ac:dyDescent="0.2">
      <c r="A93" s="4"/>
      <c r="B93" s="23"/>
      <c r="C93" s="224"/>
      <c r="D93" s="224"/>
      <c r="E93" s="20" t="s">
        <v>14</v>
      </c>
      <c r="F93" s="56"/>
      <c r="G93" s="56"/>
      <c r="H93" s="57"/>
      <c r="I93" s="52"/>
      <c r="J93" s="54"/>
      <c r="K93" s="53"/>
      <c r="L93" s="52"/>
      <c r="M93" s="16"/>
      <c r="N93" s="15"/>
      <c r="O93" s="14"/>
      <c r="P93" s="16"/>
      <c r="Q93" s="2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 x14ac:dyDescent="0.2">
      <c r="A94" s="4"/>
      <c r="B94" s="23"/>
      <c r="C94" s="224"/>
      <c r="D94" s="224"/>
      <c r="E94" s="20" t="s">
        <v>15</v>
      </c>
      <c r="F94" s="56"/>
      <c r="G94" s="56"/>
      <c r="H94" s="57"/>
      <c r="I94" s="52"/>
      <c r="J94" s="54"/>
      <c r="K94" s="53"/>
      <c r="L94" s="52"/>
      <c r="M94" s="16"/>
      <c r="N94" s="15"/>
      <c r="O94" s="14"/>
      <c r="P94" s="16"/>
      <c r="Q94" s="2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 x14ac:dyDescent="0.2">
      <c r="A95" s="4"/>
      <c r="B95" s="23"/>
      <c r="C95" s="224"/>
      <c r="D95" s="224"/>
      <c r="E95" s="20" t="s">
        <v>16</v>
      </c>
      <c r="F95" s="56"/>
      <c r="G95" s="56"/>
      <c r="H95" s="57"/>
      <c r="I95" s="52"/>
      <c r="J95" s="54"/>
      <c r="K95" s="53"/>
      <c r="L95" s="52"/>
      <c r="M95" s="16"/>
      <c r="N95" s="15"/>
      <c r="O95" s="14"/>
      <c r="P95" s="16"/>
      <c r="Q95" s="2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 x14ac:dyDescent="0.2">
      <c r="A96" s="4"/>
      <c r="B96" s="27"/>
      <c r="C96" s="225"/>
      <c r="D96" s="225"/>
      <c r="E96" s="28" t="s">
        <v>17</v>
      </c>
      <c r="F96" s="59"/>
      <c r="G96" s="59"/>
      <c r="H96" s="59"/>
      <c r="I96" s="59"/>
      <c r="J96" s="59"/>
      <c r="K96" s="59"/>
      <c r="L96" s="59"/>
      <c r="M96" s="29"/>
      <c r="N96" s="29"/>
      <c r="O96" s="29"/>
      <c r="P96" s="29"/>
      <c r="Q96" s="30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 x14ac:dyDescent="0.2">
      <c r="A97" s="4"/>
      <c r="B97" s="42"/>
      <c r="C97" s="43"/>
      <c r="D97" s="43"/>
      <c r="E97" s="44" t="s">
        <v>18</v>
      </c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6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 x14ac:dyDescent="0.2">
      <c r="A98" s="4"/>
      <c r="B98" s="35" t="s">
        <v>100</v>
      </c>
      <c r="C98" s="223" t="s">
        <v>38</v>
      </c>
      <c r="D98" s="223"/>
      <c r="E98" s="36" t="s">
        <v>9</v>
      </c>
      <c r="F98" s="60"/>
      <c r="G98" s="60"/>
      <c r="H98" s="79"/>
      <c r="I98" s="60"/>
      <c r="J98" s="80"/>
      <c r="K98" s="81"/>
      <c r="L98" s="60"/>
      <c r="M98" s="80"/>
      <c r="N98" s="81"/>
      <c r="O98" s="60"/>
      <c r="P98" s="80"/>
      <c r="Q98" s="41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 x14ac:dyDescent="0.2">
      <c r="A99" s="4"/>
      <c r="B99" s="19" t="s">
        <v>32</v>
      </c>
      <c r="C99" s="224"/>
      <c r="D99" s="224"/>
      <c r="E99" s="20" t="s">
        <v>11</v>
      </c>
      <c r="F99" s="56">
        <v>0.94</v>
      </c>
      <c r="G99" s="56">
        <v>0.94</v>
      </c>
      <c r="H99" s="57">
        <v>0.94</v>
      </c>
      <c r="I99" s="56"/>
      <c r="J99" s="58"/>
      <c r="K99" s="53"/>
      <c r="L99" s="56"/>
      <c r="M99" s="58"/>
      <c r="N99" s="53"/>
      <c r="O99" s="56"/>
      <c r="P99" s="58"/>
      <c r="Q99" s="2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 x14ac:dyDescent="0.2">
      <c r="A100" s="4"/>
      <c r="B100" s="23"/>
      <c r="C100" s="224"/>
      <c r="D100" s="224"/>
      <c r="E100" s="20" t="s">
        <v>12</v>
      </c>
      <c r="F100" s="56"/>
      <c r="G100" s="56"/>
      <c r="H100" s="57"/>
      <c r="I100" s="52"/>
      <c r="J100" s="54"/>
      <c r="K100" s="53"/>
      <c r="L100" s="52"/>
      <c r="M100" s="54"/>
      <c r="N100" s="53"/>
      <c r="O100" s="52"/>
      <c r="P100" s="54"/>
      <c r="Q100" s="2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 x14ac:dyDescent="0.2">
      <c r="A101" s="4"/>
      <c r="B101" s="23"/>
      <c r="C101" s="224"/>
      <c r="D101" s="224"/>
      <c r="E101" s="20" t="s">
        <v>13</v>
      </c>
      <c r="F101" s="56"/>
      <c r="G101" s="56"/>
      <c r="H101" s="57"/>
      <c r="I101" s="52"/>
      <c r="J101" s="54"/>
      <c r="K101" s="53"/>
      <c r="L101" s="52"/>
      <c r="M101" s="54"/>
      <c r="N101" s="53"/>
      <c r="O101" s="52"/>
      <c r="P101" s="54"/>
      <c r="Q101" s="2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 x14ac:dyDescent="0.2">
      <c r="A102" s="4"/>
      <c r="B102" s="23"/>
      <c r="C102" s="224"/>
      <c r="D102" s="224"/>
      <c r="E102" s="20" t="s">
        <v>14</v>
      </c>
      <c r="F102" s="56"/>
      <c r="G102" s="56"/>
      <c r="H102" s="57"/>
      <c r="I102" s="52"/>
      <c r="J102" s="54"/>
      <c r="K102" s="53"/>
      <c r="L102" s="52"/>
      <c r="M102" s="54"/>
      <c r="N102" s="53"/>
      <c r="O102" s="52"/>
      <c r="P102" s="54"/>
      <c r="Q102" s="2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 x14ac:dyDescent="0.2">
      <c r="A103" s="4"/>
      <c r="B103" s="23"/>
      <c r="C103" s="224"/>
      <c r="D103" s="224"/>
      <c r="E103" s="20" t="s">
        <v>15</v>
      </c>
      <c r="F103" s="56"/>
      <c r="G103" s="56"/>
      <c r="H103" s="57"/>
      <c r="I103" s="52"/>
      <c r="J103" s="54"/>
      <c r="K103" s="53"/>
      <c r="L103" s="52"/>
      <c r="M103" s="54"/>
      <c r="N103" s="53"/>
      <c r="O103" s="52"/>
      <c r="P103" s="54"/>
      <c r="Q103" s="2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A104" s="4"/>
      <c r="B104" s="23"/>
      <c r="C104" s="224"/>
      <c r="D104" s="224"/>
      <c r="E104" s="20" t="s">
        <v>16</v>
      </c>
      <c r="F104" s="56"/>
      <c r="G104" s="56"/>
      <c r="H104" s="57"/>
      <c r="I104" s="52"/>
      <c r="J104" s="54"/>
      <c r="K104" s="53"/>
      <c r="L104" s="52"/>
      <c r="M104" s="54"/>
      <c r="N104" s="53"/>
      <c r="O104" s="52"/>
      <c r="P104" s="54"/>
      <c r="Q104" s="2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 x14ac:dyDescent="0.2">
      <c r="A105" s="4"/>
      <c r="B105" s="27"/>
      <c r="C105" s="225"/>
      <c r="D105" s="225"/>
      <c r="E105" s="28" t="s">
        <v>17</v>
      </c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30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A106" s="4"/>
      <c r="B106" s="42"/>
      <c r="C106" s="43"/>
      <c r="D106" s="43"/>
      <c r="E106" s="44" t="s">
        <v>18</v>
      </c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6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 x14ac:dyDescent="0.2">
      <c r="A107" s="4"/>
      <c r="B107" s="35" t="s">
        <v>37</v>
      </c>
      <c r="C107" s="223"/>
      <c r="D107" s="223" t="s">
        <v>38</v>
      </c>
      <c r="E107" s="36" t="s">
        <v>9</v>
      </c>
      <c r="F107" s="37"/>
      <c r="G107" s="37"/>
      <c r="H107" s="38"/>
      <c r="I107" s="37"/>
      <c r="J107" s="39"/>
      <c r="K107" s="40"/>
      <c r="L107" s="37"/>
      <c r="M107" s="39"/>
      <c r="N107" s="40"/>
      <c r="O107" s="37"/>
      <c r="P107" s="39"/>
      <c r="Q107" s="41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 x14ac:dyDescent="0.2">
      <c r="A108" s="4"/>
      <c r="B108" s="19" t="s">
        <v>34</v>
      </c>
      <c r="C108" s="224"/>
      <c r="D108" s="224"/>
      <c r="E108" s="20" t="s">
        <v>11</v>
      </c>
      <c r="F108" s="21"/>
      <c r="G108" s="21"/>
      <c r="H108" s="24"/>
      <c r="I108" s="21"/>
      <c r="J108" s="49"/>
      <c r="K108" s="15"/>
      <c r="L108" s="21"/>
      <c r="M108" s="49"/>
      <c r="N108" s="15"/>
      <c r="O108" s="21"/>
      <c r="P108" s="49"/>
      <c r="Q108" s="2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 x14ac:dyDescent="0.2">
      <c r="A109" s="4"/>
      <c r="B109" s="23"/>
      <c r="C109" s="224"/>
      <c r="D109" s="224"/>
      <c r="E109" s="20" t="s">
        <v>12</v>
      </c>
      <c r="F109" s="21"/>
      <c r="G109" s="21"/>
      <c r="H109" s="24"/>
      <c r="I109" s="14"/>
      <c r="J109" s="16"/>
      <c r="K109" s="15"/>
      <c r="L109" s="14"/>
      <c r="M109" s="16"/>
      <c r="N109" s="15"/>
      <c r="O109" s="14"/>
      <c r="P109" s="16"/>
      <c r="Q109" s="2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 x14ac:dyDescent="0.2">
      <c r="A110" s="4"/>
      <c r="B110" s="23"/>
      <c r="C110" s="224"/>
      <c r="D110" s="224"/>
      <c r="E110" s="20" t="s">
        <v>13</v>
      </c>
      <c r="F110" s="21">
        <v>0.11</v>
      </c>
      <c r="G110" s="21">
        <v>0.11</v>
      </c>
      <c r="H110" s="21">
        <v>0.11</v>
      </c>
      <c r="I110" s="14">
        <v>0.69</v>
      </c>
      <c r="J110" s="16">
        <v>0.69</v>
      </c>
      <c r="K110" s="15">
        <v>0.69</v>
      </c>
      <c r="L110" s="14">
        <v>0.45</v>
      </c>
      <c r="M110" s="16">
        <v>0.45</v>
      </c>
      <c r="N110" s="15">
        <v>0.45</v>
      </c>
      <c r="O110" s="14">
        <v>0.55000000000000004</v>
      </c>
      <c r="P110" s="16">
        <v>0.55000000000000004</v>
      </c>
      <c r="Q110" s="25">
        <v>0.55000000000000004</v>
      </c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 x14ac:dyDescent="0.2">
      <c r="A111" s="4"/>
      <c r="B111" s="23"/>
      <c r="C111" s="224"/>
      <c r="D111" s="224"/>
      <c r="E111" s="20" t="s">
        <v>14</v>
      </c>
      <c r="F111" s="21"/>
      <c r="G111" s="21"/>
      <c r="H111" s="24"/>
      <c r="I111" s="14"/>
      <c r="J111" s="16"/>
      <c r="K111" s="15"/>
      <c r="L111" s="14"/>
      <c r="M111" s="16"/>
      <c r="N111" s="15"/>
      <c r="O111" s="14"/>
      <c r="P111" s="16"/>
      <c r="Q111" s="2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 x14ac:dyDescent="0.2">
      <c r="A112" s="4"/>
      <c r="B112" s="23"/>
      <c r="C112" s="224"/>
      <c r="D112" s="224"/>
      <c r="E112" s="20" t="s">
        <v>15</v>
      </c>
      <c r="F112" s="21"/>
      <c r="G112" s="21"/>
      <c r="H112" s="24"/>
      <c r="I112" s="14"/>
      <c r="J112" s="16"/>
      <c r="K112" s="15"/>
      <c r="L112" s="14"/>
      <c r="M112" s="16"/>
      <c r="N112" s="15"/>
      <c r="O112" s="14"/>
      <c r="P112" s="16"/>
      <c r="Q112" s="2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 x14ac:dyDescent="0.2">
      <c r="A113" s="4"/>
      <c r="B113" s="23"/>
      <c r="C113" s="224"/>
      <c r="D113" s="224"/>
      <c r="E113" s="20" t="s">
        <v>16</v>
      </c>
      <c r="F113" s="21"/>
      <c r="G113" s="21"/>
      <c r="H113" s="24"/>
      <c r="I113" s="14"/>
      <c r="J113" s="16"/>
      <c r="K113" s="15"/>
      <c r="L113" s="14"/>
      <c r="M113" s="16"/>
      <c r="N113" s="15"/>
      <c r="O113" s="14"/>
      <c r="P113" s="16"/>
      <c r="Q113" s="2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 x14ac:dyDescent="0.2">
      <c r="A114" s="4"/>
      <c r="B114" s="27"/>
      <c r="C114" s="225"/>
      <c r="D114" s="225"/>
      <c r="E114" s="28" t="s">
        <v>17</v>
      </c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30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 x14ac:dyDescent="0.2">
      <c r="A115" s="4"/>
      <c r="B115" s="42"/>
      <c r="C115" s="43"/>
      <c r="D115" s="43"/>
      <c r="E115" s="44" t="s">
        <v>18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6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 x14ac:dyDescent="0.2">
      <c r="A116" s="4"/>
      <c r="B116" s="35" t="s">
        <v>39</v>
      </c>
      <c r="C116" s="223"/>
      <c r="D116" s="223" t="s">
        <v>38</v>
      </c>
      <c r="E116" s="36" t="s">
        <v>9</v>
      </c>
      <c r="F116" s="38"/>
      <c r="G116" s="37"/>
      <c r="H116" s="38"/>
      <c r="I116" s="37"/>
      <c r="J116" s="39"/>
      <c r="K116" s="40"/>
      <c r="L116" s="37"/>
      <c r="M116" s="39"/>
      <c r="N116" s="40"/>
      <c r="O116" s="37"/>
      <c r="P116" s="39"/>
      <c r="Q116" s="41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 x14ac:dyDescent="0.2">
      <c r="A117" s="4"/>
      <c r="B117" s="19" t="s">
        <v>34</v>
      </c>
      <c r="C117" s="224"/>
      <c r="D117" s="224"/>
      <c r="E117" s="20" t="s">
        <v>11</v>
      </c>
      <c r="F117" s="24"/>
      <c r="G117" s="21"/>
      <c r="H117" s="24"/>
      <c r="I117" s="21"/>
      <c r="J117" s="49"/>
      <c r="K117" s="15"/>
      <c r="L117" s="21"/>
      <c r="M117" s="49"/>
      <c r="N117" s="15"/>
      <c r="O117" s="21"/>
      <c r="P117" s="49"/>
      <c r="Q117" s="2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 x14ac:dyDescent="0.2">
      <c r="A118" s="4"/>
      <c r="B118" s="23"/>
      <c r="C118" s="224"/>
      <c r="D118" s="224"/>
      <c r="E118" s="20" t="s">
        <v>12</v>
      </c>
      <c r="F118" s="24"/>
      <c r="G118" s="21"/>
      <c r="H118" s="24"/>
      <c r="I118" s="14"/>
      <c r="J118" s="16"/>
      <c r="K118" s="15"/>
      <c r="L118" s="14"/>
      <c r="M118" s="16"/>
      <c r="N118" s="15"/>
      <c r="O118" s="14"/>
      <c r="P118" s="16"/>
      <c r="Q118" s="2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 x14ac:dyDescent="0.2">
      <c r="A119" s="4"/>
      <c r="B119" s="23"/>
      <c r="C119" s="224"/>
      <c r="D119" s="224"/>
      <c r="E119" s="20" t="s">
        <v>13</v>
      </c>
      <c r="F119" s="24">
        <v>0.44</v>
      </c>
      <c r="G119" s="21">
        <v>0.44</v>
      </c>
      <c r="H119" s="24">
        <v>0.44</v>
      </c>
      <c r="I119" s="14">
        <v>0.56000000000000005</v>
      </c>
      <c r="J119" s="16">
        <v>0.56000000000000005</v>
      </c>
      <c r="K119" s="15">
        <v>0.56000000000000005</v>
      </c>
      <c r="L119" s="14">
        <v>0.27</v>
      </c>
      <c r="M119" s="16">
        <v>0.27</v>
      </c>
      <c r="N119" s="15">
        <v>0.27</v>
      </c>
      <c r="O119" s="14">
        <v>0.64</v>
      </c>
      <c r="P119" s="16">
        <v>0.64</v>
      </c>
      <c r="Q119" s="25">
        <v>0.64</v>
      </c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A120" s="4"/>
      <c r="B120" s="23"/>
      <c r="C120" s="224"/>
      <c r="D120" s="224"/>
      <c r="E120" s="20" t="s">
        <v>14</v>
      </c>
      <c r="F120" s="24"/>
      <c r="G120" s="21"/>
      <c r="H120" s="24"/>
      <c r="I120" s="14"/>
      <c r="J120" s="16"/>
      <c r="K120" s="15"/>
      <c r="L120" s="14"/>
      <c r="M120" s="16"/>
      <c r="N120" s="15"/>
      <c r="O120" s="14"/>
      <c r="P120" s="16"/>
      <c r="Q120" s="2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 x14ac:dyDescent="0.2">
      <c r="A121" s="4"/>
      <c r="B121" s="23"/>
      <c r="C121" s="224"/>
      <c r="D121" s="224"/>
      <c r="E121" s="20" t="s">
        <v>15</v>
      </c>
      <c r="F121" s="24"/>
      <c r="G121" s="21"/>
      <c r="H121" s="24"/>
      <c r="I121" s="14"/>
      <c r="J121" s="16"/>
      <c r="K121" s="15"/>
      <c r="L121" s="14"/>
      <c r="M121" s="16"/>
      <c r="N121" s="15"/>
      <c r="O121" s="14"/>
      <c r="P121" s="16"/>
      <c r="Q121" s="2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 x14ac:dyDescent="0.2">
      <c r="A122" s="4"/>
      <c r="B122" s="23"/>
      <c r="C122" s="224"/>
      <c r="D122" s="224"/>
      <c r="E122" s="20" t="s">
        <v>16</v>
      </c>
      <c r="F122" s="24"/>
      <c r="G122" s="21"/>
      <c r="H122" s="24"/>
      <c r="I122" s="14"/>
      <c r="J122" s="16"/>
      <c r="K122" s="15"/>
      <c r="L122" s="14"/>
      <c r="M122" s="16"/>
      <c r="N122" s="15"/>
      <c r="O122" s="14"/>
      <c r="P122" s="16"/>
      <c r="Q122" s="2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 x14ac:dyDescent="0.2">
      <c r="A123" s="4"/>
      <c r="B123" s="27"/>
      <c r="C123" s="225"/>
      <c r="D123" s="225"/>
      <c r="E123" s="28" t="s">
        <v>17</v>
      </c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30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 x14ac:dyDescent="0.2">
      <c r="A124" s="4"/>
      <c r="B124" s="42"/>
      <c r="C124" s="43"/>
      <c r="D124" s="43"/>
      <c r="E124" s="44" t="s">
        <v>18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6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A125" s="4"/>
      <c r="B125" s="35" t="s">
        <v>40</v>
      </c>
      <c r="C125" s="223"/>
      <c r="D125" s="223" t="s">
        <v>38</v>
      </c>
      <c r="E125" s="36" t="s">
        <v>9</v>
      </c>
      <c r="F125" s="37"/>
      <c r="G125" s="37"/>
      <c r="H125" s="38"/>
      <c r="I125" s="37"/>
      <c r="J125" s="39"/>
      <c r="K125" s="40"/>
      <c r="L125" s="37"/>
      <c r="M125" s="39"/>
      <c r="N125" s="40"/>
      <c r="O125" s="37"/>
      <c r="P125" s="39"/>
      <c r="Q125" s="4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 x14ac:dyDescent="0.2">
      <c r="A126" s="4"/>
      <c r="B126" s="19" t="s">
        <v>34</v>
      </c>
      <c r="C126" s="224"/>
      <c r="D126" s="224"/>
      <c r="E126" s="20" t="s">
        <v>11</v>
      </c>
      <c r="F126" s="21"/>
      <c r="G126" s="21"/>
      <c r="H126" s="24"/>
      <c r="I126" s="21"/>
      <c r="J126" s="49"/>
      <c r="K126" s="15"/>
      <c r="L126" s="21"/>
      <c r="M126" s="49"/>
      <c r="N126" s="15"/>
      <c r="O126" s="21"/>
      <c r="P126" s="49"/>
      <c r="Q126" s="2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 x14ac:dyDescent="0.2">
      <c r="A127" s="4"/>
      <c r="B127" s="23"/>
      <c r="C127" s="224"/>
      <c r="D127" s="224"/>
      <c r="E127" s="20" t="s">
        <v>12</v>
      </c>
      <c r="F127" s="21">
        <v>0.47</v>
      </c>
      <c r="G127" s="21">
        <v>0.47</v>
      </c>
      <c r="H127" s="24">
        <v>0.47</v>
      </c>
      <c r="I127" s="14">
        <v>0.83</v>
      </c>
      <c r="J127" s="16">
        <v>0.83</v>
      </c>
      <c r="K127" s="15">
        <v>0.83</v>
      </c>
      <c r="L127" s="14">
        <v>0.32</v>
      </c>
      <c r="M127" s="16">
        <v>0.32</v>
      </c>
      <c r="N127" s="15">
        <v>0.32</v>
      </c>
      <c r="O127" s="14">
        <v>1</v>
      </c>
      <c r="P127" s="16">
        <v>1</v>
      </c>
      <c r="Q127" s="25">
        <v>1</v>
      </c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 x14ac:dyDescent="0.2">
      <c r="A128" s="4"/>
      <c r="B128" s="23"/>
      <c r="C128" s="224"/>
      <c r="D128" s="224"/>
      <c r="E128" s="20" t="s">
        <v>13</v>
      </c>
      <c r="F128" s="21"/>
      <c r="G128" s="21"/>
      <c r="H128" s="24"/>
      <c r="I128" s="14"/>
      <c r="J128" s="16"/>
      <c r="K128" s="15"/>
      <c r="L128" s="14"/>
      <c r="M128" s="16"/>
      <c r="N128" s="15"/>
      <c r="O128" s="14"/>
      <c r="P128" s="16"/>
      <c r="Q128" s="2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 x14ac:dyDescent="0.2">
      <c r="A129" s="4"/>
      <c r="B129" s="23"/>
      <c r="C129" s="224"/>
      <c r="D129" s="224"/>
      <c r="E129" s="20" t="s">
        <v>14</v>
      </c>
      <c r="F129" s="21"/>
      <c r="G129" s="21"/>
      <c r="H129" s="24"/>
      <c r="I129" s="14"/>
      <c r="J129" s="16"/>
      <c r="K129" s="15"/>
      <c r="L129" s="14"/>
      <c r="M129" s="16"/>
      <c r="N129" s="15"/>
      <c r="O129" s="14"/>
      <c r="P129" s="16"/>
      <c r="Q129" s="2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 x14ac:dyDescent="0.2">
      <c r="A130" s="4"/>
      <c r="B130" s="23"/>
      <c r="C130" s="224"/>
      <c r="D130" s="224"/>
      <c r="E130" s="20" t="s">
        <v>15</v>
      </c>
      <c r="F130" s="21"/>
      <c r="G130" s="21"/>
      <c r="H130" s="24"/>
      <c r="I130" s="14"/>
      <c r="J130" s="16"/>
      <c r="K130" s="15"/>
      <c r="L130" s="14"/>
      <c r="M130" s="16"/>
      <c r="N130" s="15"/>
      <c r="O130" s="14"/>
      <c r="P130" s="16"/>
      <c r="Q130" s="2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 x14ac:dyDescent="0.2">
      <c r="A131" s="4"/>
      <c r="B131" s="23"/>
      <c r="C131" s="224"/>
      <c r="D131" s="224"/>
      <c r="E131" s="20" t="s">
        <v>16</v>
      </c>
      <c r="F131" s="21"/>
      <c r="G131" s="21"/>
      <c r="H131" s="24"/>
      <c r="I131" s="14"/>
      <c r="J131" s="16"/>
      <c r="K131" s="15"/>
      <c r="L131" s="14"/>
      <c r="M131" s="16"/>
      <c r="N131" s="15"/>
      <c r="O131" s="14"/>
      <c r="P131" s="16"/>
      <c r="Q131" s="2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 x14ac:dyDescent="0.2">
      <c r="A132" s="4"/>
      <c r="B132" s="27"/>
      <c r="C132" s="225"/>
      <c r="D132" s="225"/>
      <c r="E132" s="28" t="s">
        <v>17</v>
      </c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30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 x14ac:dyDescent="0.2">
      <c r="A133" s="4"/>
      <c r="B133" s="42"/>
      <c r="C133" s="43"/>
      <c r="D133" s="43"/>
      <c r="E133" s="44" t="s">
        <v>18</v>
      </c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6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 x14ac:dyDescent="0.2">
      <c r="A134" s="4"/>
      <c r="B134" s="11" t="s">
        <v>33</v>
      </c>
      <c r="C134" s="223" t="s">
        <v>38</v>
      </c>
      <c r="D134" s="223"/>
      <c r="E134" s="13" t="s">
        <v>9</v>
      </c>
      <c r="F134" s="14"/>
      <c r="G134" s="14"/>
      <c r="H134" s="15"/>
      <c r="I134" s="14"/>
      <c r="J134" s="16"/>
      <c r="K134" s="17"/>
      <c r="L134" s="14"/>
      <c r="M134" s="16"/>
      <c r="N134" s="17"/>
      <c r="O134" s="14"/>
      <c r="P134" s="16"/>
      <c r="Q134" s="18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 x14ac:dyDescent="0.2">
      <c r="A135" s="4"/>
      <c r="B135" s="19" t="s">
        <v>34</v>
      </c>
      <c r="C135" s="224"/>
      <c r="D135" s="224"/>
      <c r="E135" s="20" t="s">
        <v>11</v>
      </c>
      <c r="F135" s="21"/>
      <c r="G135" s="21"/>
      <c r="H135" s="24"/>
      <c r="I135" s="21"/>
      <c r="J135" s="49"/>
      <c r="K135" s="15"/>
      <c r="L135" s="21"/>
      <c r="M135" s="49"/>
      <c r="N135" s="15"/>
      <c r="O135" s="21"/>
      <c r="P135" s="49"/>
      <c r="Q135" s="2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 x14ac:dyDescent="0.2">
      <c r="A136" s="4"/>
      <c r="B136" s="23"/>
      <c r="C136" s="224"/>
      <c r="D136" s="224"/>
      <c r="E136" s="20" t="s">
        <v>12</v>
      </c>
      <c r="F136" s="21"/>
      <c r="G136" s="21"/>
      <c r="H136" s="24"/>
      <c r="I136" s="14"/>
      <c r="J136" s="16"/>
      <c r="K136" s="15"/>
      <c r="L136" s="14"/>
      <c r="M136" s="16"/>
      <c r="N136" s="15"/>
      <c r="O136" s="14"/>
      <c r="P136" s="16"/>
      <c r="Q136" s="2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 x14ac:dyDescent="0.2">
      <c r="A137" s="4"/>
      <c r="B137" s="23"/>
      <c r="C137" s="224"/>
      <c r="D137" s="224"/>
      <c r="E137" s="20" t="s">
        <v>13</v>
      </c>
      <c r="F137" s="21">
        <v>0.53</v>
      </c>
      <c r="G137" s="21">
        <v>0.53</v>
      </c>
      <c r="H137" s="24">
        <v>0.53</v>
      </c>
      <c r="I137" s="14">
        <v>0.62</v>
      </c>
      <c r="J137" s="16">
        <v>0.62</v>
      </c>
      <c r="K137" s="15">
        <v>0.62</v>
      </c>
      <c r="L137" s="14">
        <v>0.91</v>
      </c>
      <c r="M137" s="16">
        <v>0.91</v>
      </c>
      <c r="N137" s="15">
        <v>0.91</v>
      </c>
      <c r="O137" s="14">
        <v>0.74</v>
      </c>
      <c r="P137" s="16">
        <v>0.74</v>
      </c>
      <c r="Q137" s="25">
        <v>0.74</v>
      </c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 x14ac:dyDescent="0.2">
      <c r="A138" s="4"/>
      <c r="B138" s="23"/>
      <c r="C138" s="224"/>
      <c r="D138" s="224"/>
      <c r="E138" s="20" t="s">
        <v>14</v>
      </c>
      <c r="F138" s="21"/>
      <c r="G138" s="21"/>
      <c r="H138" s="24"/>
      <c r="I138" s="14"/>
      <c r="J138" s="16"/>
      <c r="K138" s="15"/>
      <c r="L138" s="14"/>
      <c r="M138" s="16"/>
      <c r="N138" s="15"/>
      <c r="O138" s="14"/>
      <c r="P138" s="16"/>
      <c r="Q138" s="2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 x14ac:dyDescent="0.2">
      <c r="A139" s="4"/>
      <c r="B139" s="23"/>
      <c r="C139" s="224"/>
      <c r="D139" s="224"/>
      <c r="E139" s="20" t="s">
        <v>15</v>
      </c>
      <c r="F139" s="21"/>
      <c r="G139" s="21"/>
      <c r="H139" s="24"/>
      <c r="I139" s="14"/>
      <c r="J139" s="16"/>
      <c r="K139" s="15"/>
      <c r="L139" s="14"/>
      <c r="M139" s="16"/>
      <c r="N139" s="15"/>
      <c r="O139" s="14"/>
      <c r="P139" s="16"/>
      <c r="Q139" s="2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 x14ac:dyDescent="0.2">
      <c r="A140" s="4"/>
      <c r="B140" s="23"/>
      <c r="C140" s="224"/>
      <c r="D140" s="224"/>
      <c r="E140" s="20" t="s">
        <v>16</v>
      </c>
      <c r="F140" s="21"/>
      <c r="G140" s="21"/>
      <c r="H140" s="24"/>
      <c r="I140" s="14"/>
      <c r="J140" s="16"/>
      <c r="K140" s="15"/>
      <c r="L140" s="14"/>
      <c r="M140" s="16"/>
      <c r="N140" s="15"/>
      <c r="O140" s="14"/>
      <c r="P140" s="16"/>
      <c r="Q140" s="2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 x14ac:dyDescent="0.2">
      <c r="A141" s="4"/>
      <c r="B141" s="27"/>
      <c r="C141" s="225"/>
      <c r="D141" s="225"/>
      <c r="E141" s="28" t="s">
        <v>17</v>
      </c>
      <c r="F141" s="29"/>
      <c r="G141" s="29"/>
      <c r="H141" s="29"/>
      <c r="I141" s="50"/>
      <c r="J141" s="50"/>
      <c r="K141" s="50"/>
      <c r="L141" s="50"/>
      <c r="M141" s="50"/>
      <c r="N141" s="50"/>
      <c r="O141" s="50"/>
      <c r="P141" s="50"/>
      <c r="Q141" s="51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 x14ac:dyDescent="0.2">
      <c r="A142" s="4"/>
      <c r="B142" s="42"/>
      <c r="C142" s="43"/>
      <c r="D142" s="43"/>
      <c r="E142" s="44" t="s">
        <v>18</v>
      </c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6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 x14ac:dyDescent="0.2">
      <c r="A143" s="4"/>
      <c r="B143" s="11" t="s">
        <v>35</v>
      </c>
      <c r="C143" s="223" t="s">
        <v>38</v>
      </c>
      <c r="D143" s="223"/>
      <c r="E143" s="13" t="s">
        <v>9</v>
      </c>
      <c r="F143" s="14"/>
      <c r="G143" s="14"/>
      <c r="H143" s="15"/>
      <c r="I143" s="14"/>
      <c r="J143" s="16"/>
      <c r="K143" s="17"/>
      <c r="L143" s="14"/>
      <c r="M143" s="16"/>
      <c r="N143" s="17"/>
      <c r="O143" s="14"/>
      <c r="P143" s="16"/>
      <c r="Q143" s="18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 x14ac:dyDescent="0.2">
      <c r="A144" s="4"/>
      <c r="B144" s="19" t="s">
        <v>36</v>
      </c>
      <c r="C144" s="224"/>
      <c r="D144" s="224"/>
      <c r="E144" s="20" t="s">
        <v>11</v>
      </c>
      <c r="F144" s="21"/>
      <c r="G144" s="21"/>
      <c r="H144" s="24"/>
      <c r="I144" s="21"/>
      <c r="J144" s="49"/>
      <c r="K144" s="15"/>
      <c r="L144" s="21"/>
      <c r="M144" s="49"/>
      <c r="N144" s="15"/>
      <c r="O144" s="21"/>
      <c r="P144" s="49"/>
      <c r="Q144" s="2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 x14ac:dyDescent="0.2">
      <c r="A145" s="4"/>
      <c r="B145" s="23"/>
      <c r="C145" s="224"/>
      <c r="D145" s="224"/>
      <c r="E145" s="20" t="s">
        <v>12</v>
      </c>
      <c r="F145" s="21"/>
      <c r="G145" s="21"/>
      <c r="H145" s="24"/>
      <c r="I145" s="14"/>
      <c r="J145" s="16"/>
      <c r="K145" s="15"/>
      <c r="L145" s="14"/>
      <c r="M145" s="16"/>
      <c r="N145" s="15"/>
      <c r="O145" s="14"/>
      <c r="P145" s="16"/>
      <c r="Q145" s="2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 x14ac:dyDescent="0.2">
      <c r="A146" s="4"/>
      <c r="B146" s="23"/>
      <c r="C146" s="224"/>
      <c r="D146" s="224"/>
      <c r="E146" s="20" t="s">
        <v>13</v>
      </c>
      <c r="F146" s="21"/>
      <c r="G146" s="21"/>
      <c r="H146" s="24"/>
      <c r="I146" s="14"/>
      <c r="J146" s="16"/>
      <c r="K146" s="15"/>
      <c r="L146" s="14"/>
      <c r="M146" s="16"/>
      <c r="N146" s="15"/>
      <c r="O146" s="14"/>
      <c r="P146" s="16"/>
      <c r="Q146" s="2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 x14ac:dyDescent="0.2">
      <c r="A147" s="4"/>
      <c r="B147" s="23"/>
      <c r="C147" s="224"/>
      <c r="D147" s="224"/>
      <c r="E147" s="20" t="s">
        <v>14</v>
      </c>
      <c r="F147" s="21">
        <v>0.85</v>
      </c>
      <c r="G147" s="21">
        <v>0.85</v>
      </c>
      <c r="H147" s="24">
        <v>0.85</v>
      </c>
      <c r="I147" s="14">
        <v>0.63</v>
      </c>
      <c r="J147" s="16">
        <v>0.63</v>
      </c>
      <c r="K147" s="15">
        <v>0.63</v>
      </c>
      <c r="L147" s="14">
        <v>0.85</v>
      </c>
      <c r="M147" s="16">
        <v>0.85</v>
      </c>
      <c r="N147" s="15">
        <v>0.85</v>
      </c>
      <c r="O147" s="14">
        <v>0.74</v>
      </c>
      <c r="P147" s="16">
        <v>0.74</v>
      </c>
      <c r="Q147" s="25">
        <v>0.74</v>
      </c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 x14ac:dyDescent="0.2">
      <c r="A148" s="4"/>
      <c r="B148" s="23"/>
      <c r="C148" s="224"/>
      <c r="D148" s="224"/>
      <c r="E148" s="20" t="s">
        <v>15</v>
      </c>
      <c r="F148" s="21"/>
      <c r="G148" s="21"/>
      <c r="H148" s="24"/>
      <c r="I148" s="14"/>
      <c r="J148" s="16"/>
      <c r="K148" s="15"/>
      <c r="L148" s="14"/>
      <c r="M148" s="16"/>
      <c r="N148" s="15"/>
      <c r="O148" s="14"/>
      <c r="P148" s="16"/>
      <c r="Q148" s="2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 x14ac:dyDescent="0.2">
      <c r="A149" s="4"/>
      <c r="B149" s="23"/>
      <c r="C149" s="224"/>
      <c r="D149" s="224"/>
      <c r="E149" s="20" t="s">
        <v>16</v>
      </c>
      <c r="F149" s="21"/>
      <c r="G149" s="21"/>
      <c r="H149" s="24"/>
      <c r="I149" s="14"/>
      <c r="J149" s="16"/>
      <c r="K149" s="15"/>
      <c r="L149" s="14"/>
      <c r="M149" s="16"/>
      <c r="N149" s="15"/>
      <c r="O149" s="14"/>
      <c r="P149" s="16"/>
      <c r="Q149" s="2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 x14ac:dyDescent="0.2">
      <c r="A150" s="4"/>
      <c r="B150" s="27"/>
      <c r="C150" s="225"/>
      <c r="D150" s="225"/>
      <c r="E150" s="28" t="s">
        <v>17</v>
      </c>
      <c r="F150" s="29"/>
      <c r="G150" s="29"/>
      <c r="H150" s="29"/>
      <c r="I150" s="50"/>
      <c r="J150" s="50"/>
      <c r="K150" s="50"/>
      <c r="L150" s="50"/>
      <c r="M150" s="50"/>
      <c r="N150" s="50"/>
      <c r="O150" s="50"/>
      <c r="P150" s="50"/>
      <c r="Q150" s="51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 x14ac:dyDescent="0.2">
      <c r="A151" s="4"/>
      <c r="B151" s="42"/>
      <c r="C151" s="43"/>
      <c r="D151" s="43"/>
      <c r="E151" s="44" t="s">
        <v>18</v>
      </c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6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 x14ac:dyDescent="0.2">
      <c r="A152" s="4"/>
      <c r="B152" s="11" t="s">
        <v>46</v>
      </c>
      <c r="C152" s="223" t="s">
        <v>38</v>
      </c>
      <c r="D152" s="223"/>
      <c r="E152" s="13" t="s">
        <v>9</v>
      </c>
      <c r="F152" s="14"/>
      <c r="G152" s="14"/>
      <c r="H152" s="15"/>
      <c r="I152" s="14"/>
      <c r="J152" s="16"/>
      <c r="K152" s="17"/>
      <c r="L152" s="14"/>
      <c r="M152" s="16"/>
      <c r="N152" s="17"/>
      <c r="O152" s="14"/>
      <c r="P152" s="16"/>
      <c r="Q152" s="18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 x14ac:dyDescent="0.2">
      <c r="A153" s="4"/>
      <c r="B153" s="19" t="s">
        <v>47</v>
      </c>
      <c r="C153" s="224"/>
      <c r="D153" s="224"/>
      <c r="E153" s="20" t="s">
        <v>11</v>
      </c>
      <c r="F153" s="21"/>
      <c r="G153" s="21"/>
      <c r="H153" s="24"/>
      <c r="I153" s="21"/>
      <c r="J153" s="49"/>
      <c r="K153" s="15"/>
      <c r="L153" s="21"/>
      <c r="M153" s="49"/>
      <c r="N153" s="15"/>
      <c r="O153" s="21"/>
      <c r="P153" s="49"/>
      <c r="Q153" s="2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 x14ac:dyDescent="0.2">
      <c r="A154" s="4"/>
      <c r="B154" s="23"/>
      <c r="C154" s="224"/>
      <c r="D154" s="224"/>
      <c r="E154" s="20" t="s">
        <v>12</v>
      </c>
      <c r="F154" s="21">
        <v>1</v>
      </c>
      <c r="G154" s="21">
        <v>1</v>
      </c>
      <c r="H154" s="21">
        <v>1</v>
      </c>
      <c r="I154" s="21">
        <v>1</v>
      </c>
      <c r="J154" s="21">
        <v>1</v>
      </c>
      <c r="K154" s="21">
        <v>1</v>
      </c>
      <c r="L154" s="14">
        <v>0.25</v>
      </c>
      <c r="M154" s="16">
        <v>0.25</v>
      </c>
      <c r="N154" s="15">
        <v>0.25</v>
      </c>
      <c r="O154" s="14">
        <v>1</v>
      </c>
      <c r="P154" s="16">
        <v>1</v>
      </c>
      <c r="Q154" s="25">
        <v>1</v>
      </c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 x14ac:dyDescent="0.2">
      <c r="A155" s="4"/>
      <c r="B155" s="23"/>
      <c r="C155" s="224"/>
      <c r="D155" s="224"/>
      <c r="E155" s="20" t="s">
        <v>13</v>
      </c>
      <c r="F155" s="21"/>
      <c r="G155" s="21"/>
      <c r="H155" s="24"/>
      <c r="I155" s="14"/>
      <c r="J155" s="16"/>
      <c r="K155" s="15"/>
      <c r="L155" s="14"/>
      <c r="M155" s="16"/>
      <c r="N155" s="15"/>
      <c r="O155" s="14"/>
      <c r="P155" s="16"/>
      <c r="Q155" s="2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 x14ac:dyDescent="0.2">
      <c r="A156" s="4"/>
      <c r="B156" s="23"/>
      <c r="C156" s="224"/>
      <c r="D156" s="224"/>
      <c r="E156" s="20" t="s">
        <v>14</v>
      </c>
      <c r="F156" s="21"/>
      <c r="G156" s="21"/>
      <c r="H156" s="24"/>
      <c r="I156" s="14"/>
      <c r="J156" s="16"/>
      <c r="K156" s="15"/>
      <c r="L156" s="14"/>
      <c r="M156" s="16"/>
      <c r="N156" s="15"/>
      <c r="O156" s="14"/>
      <c r="P156" s="16"/>
      <c r="Q156" s="2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 x14ac:dyDescent="0.2">
      <c r="A157" s="4"/>
      <c r="B157" s="23"/>
      <c r="C157" s="224"/>
      <c r="D157" s="224"/>
      <c r="E157" s="20" t="s">
        <v>15</v>
      </c>
      <c r="F157" s="21"/>
      <c r="G157" s="21"/>
      <c r="H157" s="24"/>
      <c r="I157" s="14"/>
      <c r="J157" s="16"/>
      <c r="K157" s="15"/>
      <c r="L157" s="14"/>
      <c r="M157" s="16"/>
      <c r="N157" s="15"/>
      <c r="O157" s="14"/>
      <c r="P157" s="16"/>
      <c r="Q157" s="2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 x14ac:dyDescent="0.2">
      <c r="A158" s="4"/>
      <c r="B158" s="23"/>
      <c r="C158" s="224"/>
      <c r="D158" s="224"/>
      <c r="E158" s="20" t="s">
        <v>16</v>
      </c>
      <c r="F158" s="21"/>
      <c r="G158" s="21"/>
      <c r="H158" s="24"/>
      <c r="I158" s="14"/>
      <c r="J158" s="16"/>
      <c r="K158" s="15"/>
      <c r="L158" s="14"/>
      <c r="M158" s="16"/>
      <c r="N158" s="15"/>
      <c r="O158" s="14"/>
      <c r="P158" s="16"/>
      <c r="Q158" s="2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 x14ac:dyDescent="0.2">
      <c r="A159" s="4"/>
      <c r="B159" s="27"/>
      <c r="C159" s="225"/>
      <c r="D159" s="225"/>
      <c r="E159" s="28" t="s">
        <v>17</v>
      </c>
      <c r="F159" s="29"/>
      <c r="G159" s="29"/>
      <c r="H159" s="29"/>
      <c r="I159" s="50"/>
      <c r="J159" s="50"/>
      <c r="K159" s="50"/>
      <c r="L159" s="50"/>
      <c r="M159" s="50"/>
      <c r="N159" s="50"/>
      <c r="O159" s="50"/>
      <c r="P159" s="50"/>
      <c r="Q159" s="51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 x14ac:dyDescent="0.2">
      <c r="A160" s="4"/>
      <c r="B160" s="31"/>
      <c r="C160" s="32"/>
      <c r="D160" s="32"/>
      <c r="E160" s="32" t="s">
        <v>18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4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 x14ac:dyDescent="0.2">
      <c r="A161" s="4"/>
      <c r="B161" s="35" t="s">
        <v>41</v>
      </c>
      <c r="C161" s="223" t="s">
        <v>38</v>
      </c>
      <c r="D161" s="223"/>
      <c r="E161" s="36" t="s">
        <v>9</v>
      </c>
      <c r="F161" s="37"/>
      <c r="G161" s="37"/>
      <c r="H161" s="38"/>
      <c r="I161" s="37"/>
      <c r="J161" s="39"/>
      <c r="K161" s="40"/>
      <c r="L161" s="37"/>
      <c r="M161" s="39"/>
      <c r="N161" s="40"/>
      <c r="O161" s="37"/>
      <c r="P161" s="39"/>
      <c r="Q161" s="41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 x14ac:dyDescent="0.2">
      <c r="A162" s="4"/>
      <c r="B162" s="19" t="s">
        <v>43</v>
      </c>
      <c r="C162" s="224"/>
      <c r="D162" s="224"/>
      <c r="E162" s="20" t="s">
        <v>11</v>
      </c>
      <c r="F162" s="21"/>
      <c r="G162" s="21"/>
      <c r="H162" s="24"/>
      <c r="I162" s="21"/>
      <c r="J162" s="49"/>
      <c r="K162" s="15"/>
      <c r="L162" s="21"/>
      <c r="M162" s="49"/>
      <c r="N162" s="15"/>
      <c r="O162" s="21"/>
      <c r="P162" s="49"/>
      <c r="Q162" s="2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 x14ac:dyDescent="0.2">
      <c r="A163" s="4"/>
      <c r="B163" s="23"/>
      <c r="C163" s="224"/>
      <c r="D163" s="224"/>
      <c r="E163" s="20" t="s">
        <v>12</v>
      </c>
      <c r="F163" s="21"/>
      <c r="G163" s="21"/>
      <c r="H163" s="24"/>
      <c r="I163" s="14"/>
      <c r="J163" s="16"/>
      <c r="K163" s="15"/>
      <c r="L163" s="14"/>
      <c r="M163" s="16"/>
      <c r="N163" s="15"/>
      <c r="O163" s="14"/>
      <c r="P163" s="16"/>
      <c r="Q163" s="2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 x14ac:dyDescent="0.2">
      <c r="A164" s="4"/>
      <c r="B164" s="23"/>
      <c r="C164" s="224"/>
      <c r="D164" s="224"/>
      <c r="E164" s="20" t="s">
        <v>13</v>
      </c>
      <c r="F164" s="21"/>
      <c r="G164" s="21"/>
      <c r="H164" s="24"/>
      <c r="I164" s="14"/>
      <c r="J164" s="16"/>
      <c r="K164" s="15"/>
      <c r="L164" s="14"/>
      <c r="M164" s="16"/>
      <c r="N164" s="15"/>
      <c r="O164" s="14"/>
      <c r="P164" s="16"/>
      <c r="Q164" s="2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 x14ac:dyDescent="0.2">
      <c r="A165" s="4"/>
      <c r="B165" s="23"/>
      <c r="C165" s="224"/>
      <c r="D165" s="224"/>
      <c r="E165" s="20" t="s">
        <v>14</v>
      </c>
      <c r="F165" s="21"/>
      <c r="G165" s="21"/>
      <c r="H165" s="24"/>
      <c r="I165" s="14"/>
      <c r="J165" s="16"/>
      <c r="K165" s="15"/>
      <c r="L165" s="14"/>
      <c r="M165" s="16"/>
      <c r="N165" s="15"/>
      <c r="O165" s="14"/>
      <c r="P165" s="16"/>
      <c r="Q165" s="2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 x14ac:dyDescent="0.2">
      <c r="A166" s="4"/>
      <c r="B166" s="23"/>
      <c r="C166" s="224"/>
      <c r="D166" s="224"/>
      <c r="E166" s="20" t="s">
        <v>15</v>
      </c>
      <c r="F166" s="21"/>
      <c r="G166" s="21"/>
      <c r="H166" s="24"/>
      <c r="I166" s="14"/>
      <c r="J166" s="16"/>
      <c r="K166" s="15"/>
      <c r="L166" s="14"/>
      <c r="M166" s="16"/>
      <c r="N166" s="15"/>
      <c r="O166" s="14"/>
      <c r="P166" s="16"/>
      <c r="Q166" s="2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 x14ac:dyDescent="0.2">
      <c r="A167" s="4"/>
      <c r="B167" s="23"/>
      <c r="C167" s="224"/>
      <c r="D167" s="224"/>
      <c r="E167" s="20" t="s">
        <v>16</v>
      </c>
      <c r="F167" s="21">
        <v>0.63</v>
      </c>
      <c r="G167" s="21">
        <v>0.63</v>
      </c>
      <c r="H167" s="24">
        <v>0.63</v>
      </c>
      <c r="I167" s="14">
        <v>0.27</v>
      </c>
      <c r="J167" s="16">
        <v>0.27</v>
      </c>
      <c r="K167" s="15">
        <v>0.27</v>
      </c>
      <c r="L167" s="14"/>
      <c r="M167" s="16"/>
      <c r="N167" s="15"/>
      <c r="O167" s="14"/>
      <c r="P167" s="16"/>
      <c r="Q167" s="2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 x14ac:dyDescent="0.2">
      <c r="A168" s="4"/>
      <c r="B168" s="27"/>
      <c r="C168" s="225"/>
      <c r="D168" s="225"/>
      <c r="E168" s="28" t="s">
        <v>17</v>
      </c>
      <c r="F168" s="29"/>
      <c r="G168" s="29"/>
      <c r="H168" s="29"/>
      <c r="I168" s="50"/>
      <c r="J168" s="50"/>
      <c r="K168" s="50"/>
      <c r="L168" s="50"/>
      <c r="M168" s="50"/>
      <c r="N168" s="50"/>
      <c r="O168" s="50"/>
      <c r="P168" s="50"/>
      <c r="Q168" s="51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 x14ac:dyDescent="0.2">
      <c r="A169" s="4"/>
      <c r="B169" s="42"/>
      <c r="C169" s="43"/>
      <c r="D169" s="43"/>
      <c r="E169" s="44" t="s">
        <v>18</v>
      </c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6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 x14ac:dyDescent="0.2">
      <c r="A170" s="4"/>
      <c r="B170" s="35" t="s">
        <v>101</v>
      </c>
      <c r="C170" s="223" t="s">
        <v>38</v>
      </c>
      <c r="D170" s="223"/>
      <c r="E170" s="36" t="s">
        <v>9</v>
      </c>
      <c r="F170" s="37"/>
      <c r="G170" s="37"/>
      <c r="H170" s="38"/>
      <c r="I170" s="37"/>
      <c r="J170" s="39"/>
      <c r="K170" s="40"/>
      <c r="L170" s="37"/>
      <c r="M170" s="39"/>
      <c r="N170" s="40"/>
      <c r="O170" s="37"/>
      <c r="P170" s="39"/>
      <c r="Q170" s="41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 x14ac:dyDescent="0.2">
      <c r="A171" s="4"/>
      <c r="B171" s="19" t="s">
        <v>102</v>
      </c>
      <c r="C171" s="224"/>
      <c r="D171" s="224"/>
      <c r="E171" s="20" t="s">
        <v>11</v>
      </c>
      <c r="F171" s="21"/>
      <c r="G171" s="21"/>
      <c r="H171" s="24"/>
      <c r="I171" s="21"/>
      <c r="J171" s="49"/>
      <c r="K171" s="15"/>
      <c r="L171" s="21"/>
      <c r="M171" s="49"/>
      <c r="N171" s="15"/>
      <c r="O171" s="21"/>
      <c r="P171" s="49"/>
      <c r="Q171" s="2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 x14ac:dyDescent="0.2">
      <c r="A172" s="4"/>
      <c r="B172" s="23"/>
      <c r="C172" s="224"/>
      <c r="D172" s="224"/>
      <c r="E172" s="20" t="s">
        <v>12</v>
      </c>
      <c r="F172" s="21"/>
      <c r="G172" s="21"/>
      <c r="H172" s="24"/>
      <c r="I172" s="14"/>
      <c r="J172" s="16"/>
      <c r="K172" s="15"/>
      <c r="L172" s="14"/>
      <c r="M172" s="16"/>
      <c r="N172" s="15"/>
      <c r="O172" s="14"/>
      <c r="P172" s="16"/>
      <c r="Q172" s="2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 x14ac:dyDescent="0.2">
      <c r="A173" s="4"/>
      <c r="B173" s="23"/>
      <c r="C173" s="224"/>
      <c r="D173" s="224"/>
      <c r="E173" s="20" t="s">
        <v>13</v>
      </c>
      <c r="F173" s="21"/>
      <c r="G173" s="21"/>
      <c r="H173" s="24"/>
      <c r="I173" s="14"/>
      <c r="J173" s="16"/>
      <c r="K173" s="15"/>
      <c r="L173" s="14"/>
      <c r="M173" s="16"/>
      <c r="N173" s="15"/>
      <c r="O173" s="14"/>
      <c r="P173" s="16"/>
      <c r="Q173" s="2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 x14ac:dyDescent="0.2">
      <c r="A174" s="4"/>
      <c r="B174" s="23"/>
      <c r="C174" s="224"/>
      <c r="D174" s="224"/>
      <c r="E174" s="20" t="s">
        <v>14</v>
      </c>
      <c r="F174" s="21"/>
      <c r="G174" s="21"/>
      <c r="H174" s="24"/>
      <c r="I174" s="14"/>
      <c r="J174" s="16"/>
      <c r="K174" s="15"/>
      <c r="L174" s="14"/>
      <c r="M174" s="16"/>
      <c r="N174" s="15"/>
      <c r="O174" s="14"/>
      <c r="P174" s="16"/>
      <c r="Q174" s="2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 x14ac:dyDescent="0.2">
      <c r="A175" s="4"/>
      <c r="B175" s="23"/>
      <c r="C175" s="224"/>
      <c r="D175" s="224"/>
      <c r="E175" s="20" t="s">
        <v>15</v>
      </c>
      <c r="F175" s="21"/>
      <c r="G175" s="21"/>
      <c r="H175" s="24"/>
      <c r="I175" s="14"/>
      <c r="J175" s="16"/>
      <c r="K175" s="15"/>
      <c r="L175" s="14"/>
      <c r="M175" s="16"/>
      <c r="N175" s="15"/>
      <c r="O175" s="14"/>
      <c r="P175" s="16"/>
      <c r="Q175" s="2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 x14ac:dyDescent="0.2">
      <c r="A176" s="4"/>
      <c r="B176" s="23"/>
      <c r="C176" s="224"/>
      <c r="D176" s="224"/>
      <c r="E176" s="20" t="s">
        <v>16</v>
      </c>
      <c r="F176" s="21">
        <v>0.09</v>
      </c>
      <c r="G176" s="21">
        <v>0.09</v>
      </c>
      <c r="H176" s="24">
        <v>0.09</v>
      </c>
      <c r="I176" s="14">
        <v>0.1</v>
      </c>
      <c r="J176" s="16">
        <v>0.1</v>
      </c>
      <c r="K176" s="15">
        <v>0.1</v>
      </c>
      <c r="L176" s="14">
        <v>7.0000000000000007E-2</v>
      </c>
      <c r="M176" s="16">
        <v>7.0000000000000007E-2</v>
      </c>
      <c r="N176" s="15">
        <v>7.0000000000000007E-2</v>
      </c>
      <c r="O176" s="14"/>
      <c r="P176" s="16"/>
      <c r="Q176" s="2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 x14ac:dyDescent="0.2">
      <c r="A177" s="4"/>
      <c r="B177" s="27"/>
      <c r="C177" s="225"/>
      <c r="D177" s="225"/>
      <c r="E177" s="28" t="s">
        <v>17</v>
      </c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1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 x14ac:dyDescent="0.2">
      <c r="A178" s="4"/>
      <c r="B178" s="42"/>
      <c r="C178" s="43"/>
      <c r="D178" s="43"/>
      <c r="E178" s="44" t="s">
        <v>18</v>
      </c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6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 x14ac:dyDescent="0.2">
      <c r="A179" s="4"/>
      <c r="B179" s="35" t="s">
        <v>103</v>
      </c>
      <c r="C179" s="223" t="s">
        <v>38</v>
      </c>
      <c r="D179" s="223"/>
      <c r="E179" s="36" t="s">
        <v>9</v>
      </c>
      <c r="F179" s="37"/>
      <c r="G179" s="37"/>
      <c r="H179" s="38"/>
      <c r="I179" s="37"/>
      <c r="J179" s="39"/>
      <c r="K179" s="40"/>
      <c r="L179" s="37"/>
      <c r="M179" s="39"/>
      <c r="N179" s="40"/>
      <c r="O179" s="37"/>
      <c r="P179" s="39"/>
      <c r="Q179" s="41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 x14ac:dyDescent="0.2">
      <c r="A180" s="4"/>
      <c r="B180" s="19" t="s">
        <v>104</v>
      </c>
      <c r="C180" s="224"/>
      <c r="D180" s="224"/>
      <c r="E180" s="20" t="s">
        <v>11</v>
      </c>
      <c r="F180" s="21"/>
      <c r="G180" s="21"/>
      <c r="H180" s="24"/>
      <c r="I180" s="21"/>
      <c r="J180" s="49"/>
      <c r="K180" s="15"/>
      <c r="L180" s="21"/>
      <c r="M180" s="49"/>
      <c r="N180" s="15"/>
      <c r="O180" s="21"/>
      <c r="P180" s="49"/>
      <c r="Q180" s="2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 x14ac:dyDescent="0.2">
      <c r="A181" s="4"/>
      <c r="B181" s="23"/>
      <c r="C181" s="224"/>
      <c r="D181" s="224"/>
      <c r="E181" s="20" t="s">
        <v>12</v>
      </c>
      <c r="F181" s="21"/>
      <c r="G181" s="21"/>
      <c r="H181" s="24"/>
      <c r="I181" s="14"/>
      <c r="J181" s="16"/>
      <c r="K181" s="15"/>
      <c r="L181" s="14"/>
      <c r="M181" s="16"/>
      <c r="N181" s="15"/>
      <c r="O181" s="14"/>
      <c r="P181" s="16"/>
      <c r="Q181" s="2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 x14ac:dyDescent="0.2">
      <c r="A182" s="4"/>
      <c r="B182" s="23"/>
      <c r="C182" s="224"/>
      <c r="D182" s="224"/>
      <c r="E182" s="20" t="s">
        <v>13</v>
      </c>
      <c r="F182" s="21"/>
      <c r="G182" s="21"/>
      <c r="H182" s="24"/>
      <c r="I182" s="14"/>
      <c r="J182" s="16"/>
      <c r="K182" s="15"/>
      <c r="L182" s="14"/>
      <c r="M182" s="16"/>
      <c r="N182" s="15"/>
      <c r="O182" s="14"/>
      <c r="P182" s="16"/>
      <c r="Q182" s="2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 x14ac:dyDescent="0.2">
      <c r="A183" s="4"/>
      <c r="B183" s="23"/>
      <c r="C183" s="224"/>
      <c r="D183" s="224"/>
      <c r="E183" s="20" t="s">
        <v>14</v>
      </c>
      <c r="F183" s="21"/>
      <c r="G183" s="21"/>
      <c r="H183" s="24"/>
      <c r="I183" s="14"/>
      <c r="J183" s="16"/>
      <c r="K183" s="15"/>
      <c r="L183" s="14"/>
      <c r="M183" s="16"/>
      <c r="N183" s="15"/>
      <c r="O183" s="14"/>
      <c r="P183" s="16"/>
      <c r="Q183" s="2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 x14ac:dyDescent="0.2">
      <c r="A184" s="4"/>
      <c r="B184" s="23"/>
      <c r="C184" s="224"/>
      <c r="D184" s="224"/>
      <c r="E184" s="20" t="s">
        <v>15</v>
      </c>
      <c r="F184" s="21"/>
      <c r="G184" s="21"/>
      <c r="H184" s="24"/>
      <c r="I184" s="14"/>
      <c r="J184" s="16"/>
      <c r="K184" s="15"/>
      <c r="L184" s="14"/>
      <c r="M184" s="16"/>
      <c r="N184" s="15"/>
      <c r="O184" s="14"/>
      <c r="P184" s="16"/>
      <c r="Q184" s="2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 x14ac:dyDescent="0.2">
      <c r="A185" s="4"/>
      <c r="B185" s="23"/>
      <c r="C185" s="224"/>
      <c r="D185" s="224"/>
      <c r="E185" s="20" t="s">
        <v>16</v>
      </c>
      <c r="F185" s="21">
        <v>0.06</v>
      </c>
      <c r="G185" s="21">
        <v>0.06</v>
      </c>
      <c r="H185" s="24">
        <v>0.06</v>
      </c>
      <c r="I185" s="14"/>
      <c r="J185" s="16"/>
      <c r="K185" s="15"/>
      <c r="L185" s="14"/>
      <c r="M185" s="16"/>
      <c r="N185" s="15"/>
      <c r="O185" s="14">
        <v>0.09</v>
      </c>
      <c r="P185" s="16">
        <v>0.09</v>
      </c>
      <c r="Q185" s="25">
        <v>0.09</v>
      </c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 x14ac:dyDescent="0.2">
      <c r="A186" s="4"/>
      <c r="B186" s="27"/>
      <c r="C186" s="225"/>
      <c r="D186" s="225"/>
      <c r="E186" s="28" t="s">
        <v>17</v>
      </c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1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 x14ac:dyDescent="0.2">
      <c r="A187" s="4"/>
      <c r="B187" s="42"/>
      <c r="C187" s="43"/>
      <c r="D187" s="43"/>
      <c r="E187" s="44" t="s">
        <v>18</v>
      </c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6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 x14ac:dyDescent="0.2">
      <c r="A188" s="4"/>
      <c r="B188" s="35" t="s">
        <v>105</v>
      </c>
      <c r="C188" s="223" t="s">
        <v>38</v>
      </c>
      <c r="D188" s="223"/>
      <c r="E188" s="36" t="s">
        <v>9</v>
      </c>
      <c r="F188" s="37"/>
      <c r="G188" s="37"/>
      <c r="H188" s="38"/>
      <c r="I188" s="37"/>
      <c r="J188" s="39"/>
      <c r="K188" s="40"/>
      <c r="L188" s="37"/>
      <c r="M188" s="39"/>
      <c r="N188" s="40"/>
      <c r="O188" s="37"/>
      <c r="P188" s="39"/>
      <c r="Q188" s="41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 x14ac:dyDescent="0.2">
      <c r="A189" s="4"/>
      <c r="B189" s="19" t="s">
        <v>106</v>
      </c>
      <c r="C189" s="224"/>
      <c r="D189" s="224"/>
      <c r="E189" s="20" t="s">
        <v>11</v>
      </c>
      <c r="F189" s="21"/>
      <c r="G189" s="21"/>
      <c r="H189" s="21"/>
      <c r="I189" s="21"/>
      <c r="J189" s="49"/>
      <c r="K189" s="15"/>
      <c r="L189" s="21"/>
      <c r="M189" s="49"/>
      <c r="N189" s="15"/>
      <c r="O189" s="21"/>
      <c r="P189" s="49"/>
      <c r="Q189" s="2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 x14ac:dyDescent="0.2">
      <c r="A190" s="4"/>
      <c r="B190" s="23"/>
      <c r="C190" s="224"/>
      <c r="D190" s="224"/>
      <c r="E190" s="20" t="s">
        <v>12</v>
      </c>
      <c r="F190" s="21"/>
      <c r="G190" s="21"/>
      <c r="H190" s="24"/>
      <c r="I190" s="14"/>
      <c r="J190" s="16"/>
      <c r="K190" s="15"/>
      <c r="L190" s="14"/>
      <c r="M190" s="16"/>
      <c r="N190" s="15"/>
      <c r="O190" s="14"/>
      <c r="P190" s="16"/>
      <c r="Q190" s="2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 x14ac:dyDescent="0.2">
      <c r="A191" s="4"/>
      <c r="B191" s="23"/>
      <c r="C191" s="224"/>
      <c r="D191" s="224"/>
      <c r="E191" s="20" t="s">
        <v>13</v>
      </c>
      <c r="F191" s="21"/>
      <c r="G191" s="21"/>
      <c r="H191" s="24"/>
      <c r="I191" s="14"/>
      <c r="J191" s="16"/>
      <c r="K191" s="15"/>
      <c r="L191" s="14"/>
      <c r="M191" s="16"/>
      <c r="N191" s="15"/>
      <c r="O191" s="14"/>
      <c r="P191" s="16"/>
      <c r="Q191" s="2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 x14ac:dyDescent="0.2">
      <c r="A192" s="4"/>
      <c r="B192" s="23"/>
      <c r="C192" s="224"/>
      <c r="D192" s="224"/>
      <c r="E192" s="20" t="s">
        <v>14</v>
      </c>
      <c r="F192" s="21"/>
      <c r="G192" s="21"/>
      <c r="H192" s="24"/>
      <c r="I192" s="14"/>
      <c r="J192" s="16"/>
      <c r="K192" s="15"/>
      <c r="L192" s="14"/>
      <c r="M192" s="16"/>
      <c r="N192" s="15"/>
      <c r="O192" s="14"/>
      <c r="P192" s="16"/>
      <c r="Q192" s="2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 x14ac:dyDescent="0.2">
      <c r="A193" s="4"/>
      <c r="B193" s="23"/>
      <c r="C193" s="224"/>
      <c r="D193" s="224"/>
      <c r="E193" s="20" t="s">
        <v>15</v>
      </c>
      <c r="F193" s="21">
        <v>0.7</v>
      </c>
      <c r="G193" s="21">
        <v>0.7</v>
      </c>
      <c r="H193" s="24">
        <v>0.7</v>
      </c>
      <c r="I193" s="14"/>
      <c r="J193" s="16"/>
      <c r="K193" s="15"/>
      <c r="L193" s="14"/>
      <c r="M193" s="16"/>
      <c r="N193" s="15"/>
      <c r="O193" s="14"/>
      <c r="P193" s="16"/>
      <c r="Q193" s="2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 x14ac:dyDescent="0.2">
      <c r="A194" s="4"/>
      <c r="B194" s="23"/>
      <c r="C194" s="224"/>
      <c r="D194" s="224"/>
      <c r="E194" s="20" t="s">
        <v>16</v>
      </c>
      <c r="F194" s="21"/>
      <c r="G194" s="21"/>
      <c r="H194" s="24"/>
      <c r="I194" s="14"/>
      <c r="J194" s="16"/>
      <c r="K194" s="15"/>
      <c r="L194" s="14"/>
      <c r="M194" s="16"/>
      <c r="N194" s="15"/>
      <c r="O194" s="14"/>
      <c r="P194" s="16"/>
      <c r="Q194" s="2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 x14ac:dyDescent="0.2">
      <c r="A195" s="4"/>
      <c r="B195" s="27"/>
      <c r="C195" s="225"/>
      <c r="D195" s="225"/>
      <c r="E195" s="28" t="s">
        <v>17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30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 x14ac:dyDescent="0.2">
      <c r="A196" s="4"/>
      <c r="B196" s="42"/>
      <c r="C196" s="43"/>
      <c r="D196" s="43"/>
      <c r="E196" s="44" t="s">
        <v>18</v>
      </c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6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 x14ac:dyDescent="0.2">
      <c r="A260" s="5"/>
      <c r="B260" s="5"/>
      <c r="C260" s="5"/>
      <c r="D260" s="5"/>
      <c r="E260" s="5"/>
      <c r="F260" s="7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6">
    <mergeCell ref="B2:Q2"/>
    <mergeCell ref="B3:Q3"/>
    <mergeCell ref="B4:Q4"/>
    <mergeCell ref="B5:Q5"/>
    <mergeCell ref="C8:C15"/>
    <mergeCell ref="D8:D15"/>
    <mergeCell ref="D17:D24"/>
    <mergeCell ref="C17:C24"/>
    <mergeCell ref="C26:C33"/>
    <mergeCell ref="D26:D33"/>
    <mergeCell ref="C35:C42"/>
    <mergeCell ref="D35:D42"/>
    <mergeCell ref="C44:C51"/>
    <mergeCell ref="D44:D51"/>
    <mergeCell ref="C53:C60"/>
    <mergeCell ref="D53:D60"/>
    <mergeCell ref="C62:C69"/>
    <mergeCell ref="D62:D69"/>
    <mergeCell ref="C71:C78"/>
    <mergeCell ref="D71:D78"/>
    <mergeCell ref="D80:D87"/>
    <mergeCell ref="C80:C87"/>
    <mergeCell ref="C89:C96"/>
    <mergeCell ref="D89:D96"/>
    <mergeCell ref="C98:C105"/>
    <mergeCell ref="D98:D105"/>
    <mergeCell ref="C107:C114"/>
    <mergeCell ref="D107:D114"/>
    <mergeCell ref="C116:C123"/>
    <mergeCell ref="D116:D123"/>
    <mergeCell ref="C125:C132"/>
    <mergeCell ref="D125:D132"/>
    <mergeCell ref="C134:C141"/>
    <mergeCell ref="D134:D141"/>
    <mergeCell ref="D143:D150"/>
    <mergeCell ref="C179:C186"/>
    <mergeCell ref="D179:D186"/>
    <mergeCell ref="C188:C195"/>
    <mergeCell ref="D188:D195"/>
    <mergeCell ref="C143:C150"/>
    <mergeCell ref="C152:C159"/>
    <mergeCell ref="D152:D159"/>
    <mergeCell ref="C161:C168"/>
    <mergeCell ref="D161:D168"/>
    <mergeCell ref="C170:C177"/>
    <mergeCell ref="D170:D177"/>
  </mergeCells>
  <conditionalFormatting sqref="B8 D8">
    <cfRule type="expression" dxfId="250" priority="1">
      <formula>#REF!="Total"</formula>
    </cfRule>
  </conditionalFormatting>
  <conditionalFormatting sqref="B8:B15 D125:E125 F125:H131 B125:B132 E126:E131 E132:Q132 B133:Q133 D134:E134 F134:H140 B134:B141 E135:E140 E141:Q141 B142:Q142 D143:E143 F143:H149 B143:B150 E144:E149 E150:Q150 B151:Q151 D152:E152 F152:H158 B152:B159 E153:E158 I154:K154 E159:Q159 B160:Q160 D161:E161 F161:H167 B161:B168 E162:E167 E168:Q168 B169:Q169 D170:E170 F170:H176 B170:B177 E171:E176 E177:Q177 B178:Q178 D179 E179:H185 B179:B186 E186:Q186 B187:Q187 D188 F188:H188 E188:E194 B188:B195 F189:I189 F190:H194 E195:Q195 B196:Q196">
    <cfRule type="expression" dxfId="249" priority="2">
      <formula>$E8="Total"</formula>
    </cfRule>
  </conditionalFormatting>
  <conditionalFormatting sqref="B17:B24">
    <cfRule type="expression" dxfId="248" priority="3">
      <formula>$E17="Total"</formula>
    </cfRule>
  </conditionalFormatting>
  <conditionalFormatting sqref="B26:B33">
    <cfRule type="expression" dxfId="247" priority="4">
      <formula>$E26="Total"</formula>
    </cfRule>
  </conditionalFormatting>
  <conditionalFormatting sqref="B35:B42">
    <cfRule type="expression" dxfId="246" priority="5">
      <formula>$E35="Total"</formula>
    </cfRule>
  </conditionalFormatting>
  <conditionalFormatting sqref="B44:B51">
    <cfRule type="expression" dxfId="245" priority="6">
      <formula>$E44="Total"</formula>
    </cfRule>
  </conditionalFormatting>
  <conditionalFormatting sqref="B53:B60">
    <cfRule type="expression" dxfId="244" priority="7">
      <formula>$E53="Total"</formula>
    </cfRule>
  </conditionalFormatting>
  <conditionalFormatting sqref="B62:B69">
    <cfRule type="expression" dxfId="243" priority="8">
      <formula>$E62="Total"</formula>
    </cfRule>
  </conditionalFormatting>
  <conditionalFormatting sqref="B71:B78">
    <cfRule type="expression" dxfId="242" priority="9">
      <formula>$E71="Total"</formula>
    </cfRule>
  </conditionalFormatting>
  <conditionalFormatting sqref="B80:B87">
    <cfRule type="expression" dxfId="241" priority="10">
      <formula>$E80="Total"</formula>
    </cfRule>
  </conditionalFormatting>
  <conditionalFormatting sqref="B89:B96">
    <cfRule type="expression" dxfId="240" priority="11">
      <formula>$E89="Total"</formula>
    </cfRule>
  </conditionalFormatting>
  <conditionalFormatting sqref="B98:B105">
    <cfRule type="expression" dxfId="239" priority="12">
      <formula>$E98="Total"</formula>
    </cfRule>
  </conditionalFormatting>
  <conditionalFormatting sqref="B107:B114">
    <cfRule type="expression" dxfId="238" priority="13">
      <formula>$E107="Total"</formula>
    </cfRule>
  </conditionalFormatting>
  <conditionalFormatting sqref="B116:B123">
    <cfRule type="expression" dxfId="237" priority="14">
      <formula>$E116="Total"</formula>
    </cfRule>
  </conditionalFormatting>
  <conditionalFormatting sqref="B134 D134 B143 D143 B152 D152">
    <cfRule type="expression" dxfId="236" priority="15">
      <formula>$E133="Total"</formula>
    </cfRule>
  </conditionalFormatting>
  <conditionalFormatting sqref="B7:Q7 E9:E14 F10:H14 E15:Q15 E18:E23 F19:H23 E24:Q24 E27:E32 E33:Q33 E36:E41 E42:Q42 E45:E50 E51:Q51 E60:Q60 E69:Q69 E72:E77 E78:Q78 D80:E80 E81:E86 E87:Q87 E90:E95 E96:Q96 E99:E104 E105:Q105 E114:Q114 E116:E122 E123:Q123">
    <cfRule type="expression" dxfId="235" priority="16">
      <formula>$E7="Total"</formula>
    </cfRule>
  </conditionalFormatting>
  <conditionalFormatting sqref="B16:Q16">
    <cfRule type="expression" dxfId="234" priority="17">
      <formula>$E16="Total"</formula>
    </cfRule>
  </conditionalFormatting>
  <conditionalFormatting sqref="B25:Q25">
    <cfRule type="expression" dxfId="233" priority="18">
      <formula>$E25="Total"</formula>
    </cfRule>
  </conditionalFormatting>
  <conditionalFormatting sqref="B34:Q34">
    <cfRule type="expression" dxfId="232" priority="19">
      <formula>$E34="Total"</formula>
    </cfRule>
  </conditionalFormatting>
  <conditionalFormatting sqref="B43:Q43">
    <cfRule type="expression" dxfId="231" priority="20">
      <formula>$E43="Total"</formula>
    </cfRule>
  </conditionalFormatting>
  <conditionalFormatting sqref="B52:Q52">
    <cfRule type="expression" dxfId="230" priority="21">
      <formula>$E52="Total"</formula>
    </cfRule>
  </conditionalFormatting>
  <conditionalFormatting sqref="B61:Q61">
    <cfRule type="expression" dxfId="229" priority="22">
      <formula>$E61="Total"</formula>
    </cfRule>
  </conditionalFormatting>
  <conditionalFormatting sqref="B70:Q70">
    <cfRule type="expression" dxfId="228" priority="23">
      <formula>$E70="Total"</formula>
    </cfRule>
  </conditionalFormatting>
  <conditionalFormatting sqref="B79:Q79">
    <cfRule type="expression" dxfId="227" priority="24">
      <formula>$E79="Total"</formula>
    </cfRule>
  </conditionalFormatting>
  <conditionalFormatting sqref="B88:Q88">
    <cfRule type="expression" dxfId="226" priority="25">
      <formula>$E88="Total"</formula>
    </cfRule>
  </conditionalFormatting>
  <conditionalFormatting sqref="B97:Q97">
    <cfRule type="expression" dxfId="225" priority="26">
      <formula>$E97="Total"</formula>
    </cfRule>
  </conditionalFormatting>
  <conditionalFormatting sqref="B106:Q106">
    <cfRule type="expression" dxfId="224" priority="27">
      <formula>$E106="Total"</formula>
    </cfRule>
  </conditionalFormatting>
  <conditionalFormatting sqref="B115:Q115">
    <cfRule type="expression" dxfId="223" priority="28">
      <formula>$E115="Total"</formula>
    </cfRule>
  </conditionalFormatting>
  <conditionalFormatting sqref="B124:Q124">
    <cfRule type="expression" dxfId="222" priority="29">
      <formula>$E124="Total"</formula>
    </cfRule>
  </conditionalFormatting>
  <conditionalFormatting sqref="C53:D53">
    <cfRule type="expression" dxfId="221" priority="30">
      <formula>$E53="Total"</formula>
    </cfRule>
  </conditionalFormatting>
  <conditionalFormatting sqref="C62:D62">
    <cfRule type="expression" dxfId="220" priority="31">
      <formula>$E62="Total"</formula>
    </cfRule>
  </conditionalFormatting>
  <conditionalFormatting sqref="C116:D116">
    <cfRule type="expression" dxfId="219" priority="32">
      <formula>$E116="Total"</formula>
    </cfRule>
  </conditionalFormatting>
  <conditionalFormatting sqref="C26:E26">
    <cfRule type="expression" dxfId="218" priority="33">
      <formula>$E26="Total"</formula>
    </cfRule>
  </conditionalFormatting>
  <conditionalFormatting sqref="C35:E35">
    <cfRule type="expression" dxfId="217" priority="34">
      <formula>$E35="Total"</formula>
    </cfRule>
  </conditionalFormatting>
  <conditionalFormatting sqref="C44:E44">
    <cfRule type="expression" dxfId="216" priority="35">
      <formula>$E44="Total"</formula>
    </cfRule>
  </conditionalFormatting>
  <conditionalFormatting sqref="C71:E71">
    <cfRule type="expression" dxfId="215" priority="36">
      <formula>$E71="Total"</formula>
    </cfRule>
  </conditionalFormatting>
  <conditionalFormatting sqref="C89:E89">
    <cfRule type="expression" dxfId="214" priority="37">
      <formula>$E89="Total"</formula>
    </cfRule>
  </conditionalFormatting>
  <conditionalFormatting sqref="C8:H8">
    <cfRule type="expression" dxfId="213" priority="38">
      <formula>$E8="Total"</formula>
    </cfRule>
  </conditionalFormatting>
  <conditionalFormatting sqref="C17:H17">
    <cfRule type="expression" dxfId="212" priority="39">
      <formula>$E17="Total"</formula>
    </cfRule>
  </conditionalFormatting>
  <conditionalFormatting sqref="D44">
    <cfRule type="expression" dxfId="211" priority="40">
      <formula>$E43="Total"</formula>
    </cfRule>
  </conditionalFormatting>
  <conditionalFormatting sqref="D80">
    <cfRule type="expression" dxfId="210" priority="41">
      <formula>$E79="Total"</formula>
    </cfRule>
  </conditionalFormatting>
  <conditionalFormatting sqref="D107">
    <cfRule type="expression" dxfId="209" priority="42">
      <formula>$E107="Total"</formula>
    </cfRule>
  </conditionalFormatting>
  <conditionalFormatting sqref="D98:E98">
    <cfRule type="expression" dxfId="208" priority="43">
      <formula>$E98="Total"</formula>
    </cfRule>
  </conditionalFormatting>
  <conditionalFormatting sqref="E53:H59">
    <cfRule type="expression" dxfId="207" priority="44">
      <formula>$E53="Total"</formula>
    </cfRule>
  </conditionalFormatting>
  <conditionalFormatting sqref="E62:H68">
    <cfRule type="expression" dxfId="206" priority="45">
      <formula>$E62="Total"</formula>
    </cfRule>
  </conditionalFormatting>
  <conditionalFormatting sqref="E107:H113">
    <cfRule type="expression" dxfId="205" priority="46">
      <formula>$E107="Total"</formula>
    </cfRule>
  </conditionalFormatting>
  <conditionalFormatting sqref="F116:F122">
    <cfRule type="expression" dxfId="204" priority="47">
      <formula>$B116="Total"</formula>
    </cfRule>
  </conditionalFormatting>
  <conditionalFormatting sqref="F26:H32">
    <cfRule type="expression" dxfId="203" priority="48">
      <formula>$E26="Total"</formula>
    </cfRule>
  </conditionalFormatting>
  <conditionalFormatting sqref="F37:H41">
    <cfRule type="expression" dxfId="202" priority="49">
      <formula>$E37="Total"</formula>
    </cfRule>
  </conditionalFormatting>
  <conditionalFormatting sqref="F44:H50">
    <cfRule type="expression" dxfId="201" priority="50">
      <formula>$E44="Total"</formula>
    </cfRule>
  </conditionalFormatting>
  <conditionalFormatting sqref="F77:H77">
    <cfRule type="expression" dxfId="200" priority="51">
      <formula>$E77="Total"</formula>
    </cfRule>
  </conditionalFormatting>
  <conditionalFormatting sqref="F80:H86">
    <cfRule type="expression" dxfId="199" priority="52">
      <formula>$E80="Total"</formula>
    </cfRule>
  </conditionalFormatting>
  <conditionalFormatting sqref="F89:H95">
    <cfRule type="expression" dxfId="198" priority="53">
      <formula>$E89="Total"</formula>
    </cfRule>
  </conditionalFormatting>
  <conditionalFormatting sqref="F98:H104">
    <cfRule type="expression" dxfId="197" priority="54">
      <formula>$E98="Total"</formula>
    </cfRule>
  </conditionalFormatting>
  <conditionalFormatting sqref="F71:P76">
    <cfRule type="expression" dxfId="196" priority="55">
      <formula>$E71="Total"</formula>
    </cfRule>
  </conditionalFormatting>
  <conditionalFormatting sqref="F9:Q9">
    <cfRule type="expression" dxfId="195" priority="56">
      <formula>$E9="Total"</formula>
    </cfRule>
  </conditionalFormatting>
  <conditionalFormatting sqref="F18:Q18">
    <cfRule type="expression" dxfId="194" priority="57">
      <formula>$E18="Total"</formula>
    </cfRule>
  </conditionalFormatting>
  <conditionalFormatting sqref="F35:Q36">
    <cfRule type="expression" dxfId="193" priority="58">
      <formula>$E35="Total"</formula>
    </cfRule>
  </conditionalFormatting>
  <conditionalFormatting sqref="G116:H122">
    <cfRule type="expression" dxfId="192" priority="59">
      <formula>$E116="Total"</formula>
    </cfRule>
  </conditionalFormatting>
  <conditionalFormatting sqref="I23:Q23">
    <cfRule type="expression" dxfId="191" priority="60">
      <formula>$E23="Total"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 x14ac:dyDescent="0.2"/>
  <cols>
    <col min="1" max="1" width="3.83203125" customWidth="1"/>
    <col min="2" max="2" width="28.6640625" customWidth="1"/>
    <col min="3" max="4" width="14.6640625" customWidth="1"/>
    <col min="5" max="5" width="40.6640625" customWidth="1"/>
    <col min="6" max="8" width="8.6640625" customWidth="1"/>
    <col min="9" max="17" width="8.83203125" customWidth="1"/>
    <col min="18" max="26" width="8.6640625" customWidth="1"/>
  </cols>
  <sheetData>
    <row r="1" spans="1:26" ht="12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2" customHeight="1" x14ac:dyDescent="0.2">
      <c r="A2" s="4"/>
      <c r="B2" s="226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8"/>
      <c r="R2" s="5"/>
      <c r="S2" s="5"/>
      <c r="T2" s="5"/>
      <c r="U2" s="5"/>
      <c r="V2" s="5"/>
      <c r="W2" s="5"/>
      <c r="X2" s="5"/>
      <c r="Y2" s="5"/>
      <c r="Z2" s="5"/>
    </row>
    <row r="3" spans="1:26" ht="12" customHeight="1" x14ac:dyDescent="0.2">
      <c r="A3" s="4"/>
      <c r="B3" s="229" t="s">
        <v>99</v>
      </c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0"/>
      <c r="P3" s="230"/>
      <c r="Q3" s="231"/>
      <c r="R3" s="5"/>
      <c r="S3" s="5"/>
      <c r="T3" s="5"/>
      <c r="U3" s="5"/>
      <c r="V3" s="5"/>
      <c r="W3" s="5"/>
      <c r="X3" s="5"/>
      <c r="Y3" s="5"/>
      <c r="Z3" s="5"/>
    </row>
    <row r="4" spans="1:26" ht="12" customHeight="1" x14ac:dyDescent="0.2">
      <c r="A4" s="4"/>
      <c r="B4" s="229" t="s">
        <v>2</v>
      </c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0"/>
      <c r="P4" s="230"/>
      <c r="Q4" s="231"/>
      <c r="R4" s="5"/>
      <c r="S4" s="5"/>
      <c r="T4" s="5"/>
      <c r="U4" s="5"/>
      <c r="V4" s="5"/>
      <c r="W4" s="5"/>
      <c r="X4" s="5"/>
      <c r="Y4" s="5"/>
      <c r="Z4" s="5"/>
    </row>
    <row r="5" spans="1:26" ht="12" customHeight="1" x14ac:dyDescent="0.2">
      <c r="A5" s="4"/>
      <c r="B5" s="232" t="s">
        <v>52</v>
      </c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4"/>
      <c r="R5" s="5"/>
      <c r="S5" s="5"/>
      <c r="T5" s="5"/>
      <c r="U5" s="5"/>
      <c r="V5" s="5"/>
      <c r="W5" s="5"/>
      <c r="X5" s="5"/>
      <c r="Y5" s="5"/>
      <c r="Z5" s="5"/>
    </row>
    <row r="6" spans="1:26" ht="12" customHeight="1" x14ac:dyDescent="0.2">
      <c r="A6" s="4"/>
      <c r="B6" s="6"/>
      <c r="C6" s="6"/>
      <c r="D6" s="6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spans="1:26" ht="63.75" customHeight="1" x14ac:dyDescent="0.2">
      <c r="A7" s="4"/>
      <c r="B7" s="8" t="s">
        <v>4</v>
      </c>
      <c r="C7" s="9" t="s">
        <v>5</v>
      </c>
      <c r="D7" s="9" t="s">
        <v>6</v>
      </c>
      <c r="E7" s="10"/>
      <c r="F7" s="2">
        <v>44378</v>
      </c>
      <c r="G7" s="2">
        <v>44409</v>
      </c>
      <c r="H7" s="2">
        <v>44440</v>
      </c>
      <c r="I7" s="2">
        <v>44470</v>
      </c>
      <c r="J7" s="2">
        <v>44501</v>
      </c>
      <c r="K7" s="2">
        <v>44531</v>
      </c>
      <c r="L7" s="2">
        <v>44562</v>
      </c>
      <c r="M7" s="2">
        <v>44593</v>
      </c>
      <c r="N7" s="2">
        <v>44621</v>
      </c>
      <c r="O7" s="2">
        <v>44652</v>
      </c>
      <c r="P7" s="2">
        <v>44682</v>
      </c>
      <c r="Q7" s="3">
        <v>44713</v>
      </c>
      <c r="R7" s="5"/>
      <c r="S7" s="5"/>
      <c r="T7" s="5"/>
      <c r="U7" s="5"/>
      <c r="V7" s="5"/>
      <c r="W7" s="5"/>
      <c r="X7" s="5"/>
      <c r="Y7" s="5"/>
      <c r="Z7" s="5"/>
    </row>
    <row r="8" spans="1:26" ht="12" customHeight="1" x14ac:dyDescent="0.2">
      <c r="A8" s="4"/>
      <c r="B8" s="11" t="s">
        <v>7</v>
      </c>
      <c r="C8" s="235" t="s">
        <v>38</v>
      </c>
      <c r="D8" s="235"/>
      <c r="E8" s="13" t="s">
        <v>9</v>
      </c>
      <c r="F8" s="14"/>
      <c r="G8" s="14"/>
      <c r="H8" s="15"/>
      <c r="I8" s="14"/>
      <c r="J8" s="16"/>
      <c r="K8" s="17"/>
      <c r="L8" s="14"/>
      <c r="M8" s="16"/>
      <c r="N8" s="17"/>
      <c r="O8" s="14"/>
      <c r="P8" s="16"/>
      <c r="Q8" s="18"/>
      <c r="R8" s="5"/>
      <c r="S8" s="5"/>
      <c r="T8" s="5"/>
      <c r="U8" s="5"/>
      <c r="V8" s="5"/>
      <c r="W8" s="5"/>
      <c r="X8" s="5"/>
      <c r="Y8" s="5"/>
      <c r="Z8" s="5"/>
    </row>
    <row r="9" spans="1:26" ht="12" customHeight="1" x14ac:dyDescent="0.2">
      <c r="A9" s="4"/>
      <c r="B9" s="19" t="s">
        <v>10</v>
      </c>
      <c r="C9" s="224"/>
      <c r="D9" s="224"/>
      <c r="E9" s="20" t="s">
        <v>11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2"/>
      <c r="R9" s="5"/>
      <c r="S9" s="5"/>
      <c r="T9" s="5"/>
      <c r="U9" s="5"/>
      <c r="V9" s="5"/>
      <c r="W9" s="5"/>
      <c r="X9" s="5"/>
      <c r="Y9" s="5"/>
      <c r="Z9" s="5"/>
    </row>
    <row r="10" spans="1:26" ht="12" customHeight="1" x14ac:dyDescent="0.2">
      <c r="A10" s="4"/>
      <c r="B10" s="23"/>
      <c r="C10" s="224"/>
      <c r="D10" s="224"/>
      <c r="E10" s="20" t="s">
        <v>12</v>
      </c>
      <c r="F10" s="21"/>
      <c r="G10" s="21"/>
      <c r="H10" s="24"/>
      <c r="I10" s="14"/>
      <c r="J10" s="16"/>
      <c r="K10" s="15"/>
      <c r="L10" s="14"/>
      <c r="M10" s="16"/>
      <c r="N10" s="15"/>
      <c r="O10" s="14"/>
      <c r="P10" s="16"/>
      <c r="Q10" s="2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 x14ac:dyDescent="0.2">
      <c r="A11" s="4"/>
      <c r="B11" s="23"/>
      <c r="C11" s="224"/>
      <c r="D11" s="224"/>
      <c r="E11" s="20" t="s">
        <v>13</v>
      </c>
      <c r="F11" s="21"/>
      <c r="G11" s="21"/>
      <c r="H11" s="24"/>
      <c r="I11" s="14"/>
      <c r="J11" s="16"/>
      <c r="K11" s="15"/>
      <c r="L11" s="14"/>
      <c r="M11" s="16"/>
      <c r="N11" s="15"/>
      <c r="O11" s="14"/>
      <c r="P11" s="16"/>
      <c r="Q11" s="2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x14ac:dyDescent="0.2">
      <c r="A12" s="4"/>
      <c r="B12" s="23"/>
      <c r="C12" s="224"/>
      <c r="D12" s="224"/>
      <c r="E12" s="20" t="s">
        <v>14</v>
      </c>
      <c r="F12" s="21"/>
      <c r="G12" s="21"/>
      <c r="H12" s="24"/>
      <c r="I12" s="14"/>
      <c r="J12" s="16"/>
      <c r="K12" s="15"/>
      <c r="L12" s="14"/>
      <c r="M12" s="16"/>
      <c r="N12" s="15"/>
      <c r="O12" s="14"/>
      <c r="P12" s="16"/>
      <c r="Q12" s="2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 x14ac:dyDescent="0.2">
      <c r="A13" s="4"/>
      <c r="B13" s="23"/>
      <c r="C13" s="224"/>
      <c r="D13" s="224"/>
      <c r="E13" s="20" t="s">
        <v>15</v>
      </c>
      <c r="F13" s="21"/>
      <c r="G13" s="21"/>
      <c r="H13" s="24"/>
      <c r="I13" s="14"/>
      <c r="J13" s="16"/>
      <c r="K13" s="15"/>
      <c r="L13" s="14"/>
      <c r="M13" s="16"/>
      <c r="N13" s="15"/>
      <c r="O13" s="14"/>
      <c r="P13" s="16"/>
      <c r="Q13" s="2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 x14ac:dyDescent="0.2">
      <c r="A14" s="4"/>
      <c r="B14" s="23"/>
      <c r="C14" s="224"/>
      <c r="D14" s="224"/>
      <c r="E14" s="20" t="s">
        <v>16</v>
      </c>
      <c r="F14" s="21">
        <v>0.05</v>
      </c>
      <c r="G14" s="21">
        <v>0.05</v>
      </c>
      <c r="H14" s="24">
        <v>0.05</v>
      </c>
      <c r="I14" s="14">
        <v>0.05</v>
      </c>
      <c r="J14" s="16">
        <v>0.05</v>
      </c>
      <c r="K14" s="15">
        <v>0.05</v>
      </c>
      <c r="L14" s="14">
        <v>0.05</v>
      </c>
      <c r="M14" s="16">
        <v>0.05</v>
      </c>
      <c r="N14" s="15">
        <v>0.05</v>
      </c>
      <c r="O14" s="14">
        <v>0.05</v>
      </c>
      <c r="P14" s="16">
        <v>0.05</v>
      </c>
      <c r="Q14" s="25">
        <v>0.05</v>
      </c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 x14ac:dyDescent="0.2">
      <c r="A15" s="26"/>
      <c r="B15" s="27"/>
      <c r="C15" s="225"/>
      <c r="D15" s="225"/>
      <c r="E15" s="28" t="s">
        <v>17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 x14ac:dyDescent="0.2">
      <c r="A16" s="4"/>
      <c r="B16" s="31" t="str">
        <f>B8</f>
        <v>Beau Leese</v>
      </c>
      <c r="C16" s="32"/>
      <c r="D16" s="32"/>
      <c r="E16" s="32" t="s">
        <v>18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4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 x14ac:dyDescent="0.2">
      <c r="A17" s="4"/>
      <c r="B17" s="35" t="s">
        <v>19</v>
      </c>
      <c r="C17" s="223" t="s">
        <v>38</v>
      </c>
      <c r="D17" s="223"/>
      <c r="E17" s="36" t="s">
        <v>9</v>
      </c>
      <c r="F17" s="37"/>
      <c r="G17" s="37"/>
      <c r="H17" s="38"/>
      <c r="I17" s="37"/>
      <c r="J17" s="39"/>
      <c r="K17" s="40"/>
      <c r="L17" s="37"/>
      <c r="M17" s="39"/>
      <c r="N17" s="40"/>
      <c r="O17" s="37"/>
      <c r="P17" s="39"/>
      <c r="Q17" s="41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 x14ac:dyDescent="0.2">
      <c r="A18" s="4"/>
      <c r="B18" s="19" t="s">
        <v>20</v>
      </c>
      <c r="C18" s="224"/>
      <c r="D18" s="224"/>
      <c r="E18" s="20" t="s">
        <v>11</v>
      </c>
      <c r="F18" s="21">
        <v>0.15</v>
      </c>
      <c r="G18" s="21">
        <v>0.15</v>
      </c>
      <c r="H18" s="21">
        <v>0.15</v>
      </c>
      <c r="I18" s="21">
        <v>0.15</v>
      </c>
      <c r="J18" s="21">
        <v>0.15</v>
      </c>
      <c r="K18" s="21">
        <v>0.15</v>
      </c>
      <c r="L18" s="21">
        <v>0.15</v>
      </c>
      <c r="M18" s="21">
        <v>0.15</v>
      </c>
      <c r="N18" s="21">
        <v>0.15</v>
      </c>
      <c r="O18" s="21">
        <v>0.15</v>
      </c>
      <c r="P18" s="21">
        <v>0.15</v>
      </c>
      <c r="Q18" s="22">
        <v>0.15</v>
      </c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 x14ac:dyDescent="0.2">
      <c r="A19" s="4"/>
      <c r="B19" s="23"/>
      <c r="C19" s="224"/>
      <c r="D19" s="224"/>
      <c r="E19" s="20" t="s">
        <v>12</v>
      </c>
      <c r="F19" s="21"/>
      <c r="G19" s="21"/>
      <c r="H19" s="24"/>
      <c r="I19" s="14"/>
      <c r="J19" s="16"/>
      <c r="K19" s="15"/>
      <c r="L19" s="14"/>
      <c r="M19" s="16"/>
      <c r="N19" s="15"/>
      <c r="O19" s="14"/>
      <c r="P19" s="16"/>
      <c r="Q19" s="2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 x14ac:dyDescent="0.2">
      <c r="A20" s="4"/>
      <c r="B20" s="23"/>
      <c r="C20" s="224"/>
      <c r="D20" s="224"/>
      <c r="E20" s="20" t="s">
        <v>13</v>
      </c>
      <c r="F20" s="21"/>
      <c r="G20" s="21"/>
      <c r="H20" s="24"/>
      <c r="I20" s="14"/>
      <c r="J20" s="16"/>
      <c r="K20" s="15"/>
      <c r="L20" s="14"/>
      <c r="M20" s="16"/>
      <c r="N20" s="15"/>
      <c r="O20" s="14"/>
      <c r="P20" s="16"/>
      <c r="Q20" s="2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 x14ac:dyDescent="0.2">
      <c r="A21" s="4"/>
      <c r="B21" s="23"/>
      <c r="C21" s="224"/>
      <c r="D21" s="224"/>
      <c r="E21" s="20" t="s">
        <v>14</v>
      </c>
      <c r="F21" s="21"/>
      <c r="G21" s="21"/>
      <c r="H21" s="24"/>
      <c r="I21" s="14"/>
      <c r="J21" s="16"/>
      <c r="K21" s="15"/>
      <c r="L21" s="14"/>
      <c r="M21" s="16"/>
      <c r="N21" s="15"/>
      <c r="O21" s="14"/>
      <c r="P21" s="16"/>
      <c r="Q21" s="2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 x14ac:dyDescent="0.2">
      <c r="A22" s="4"/>
      <c r="B22" s="23"/>
      <c r="C22" s="224"/>
      <c r="D22" s="224"/>
      <c r="E22" s="20" t="s">
        <v>15</v>
      </c>
      <c r="F22" s="21"/>
      <c r="G22" s="21"/>
      <c r="H22" s="24"/>
      <c r="I22" s="14"/>
      <c r="J22" s="16"/>
      <c r="K22" s="15"/>
      <c r="L22" s="14"/>
      <c r="M22" s="16"/>
      <c r="N22" s="15"/>
      <c r="O22" s="14"/>
      <c r="P22" s="16"/>
      <c r="Q22" s="2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 x14ac:dyDescent="0.2">
      <c r="A23" s="4"/>
      <c r="B23" s="23"/>
      <c r="C23" s="224"/>
      <c r="D23" s="224"/>
      <c r="E23" s="20" t="s">
        <v>16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2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 x14ac:dyDescent="0.2">
      <c r="A24" s="26"/>
      <c r="B24" s="27"/>
      <c r="C24" s="225"/>
      <c r="D24" s="225"/>
      <c r="E24" s="28" t="s">
        <v>17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30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 x14ac:dyDescent="0.2">
      <c r="A25" s="4"/>
      <c r="B25" s="42" t="str">
        <f>B17</f>
        <v>Suzy Watson</v>
      </c>
      <c r="C25" s="43"/>
      <c r="D25" s="43"/>
      <c r="E25" s="44" t="s">
        <v>18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6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 x14ac:dyDescent="0.2">
      <c r="A26" s="4"/>
      <c r="B26" s="35" t="s">
        <v>23</v>
      </c>
      <c r="C26" s="223" t="s">
        <v>38</v>
      </c>
      <c r="D26" s="223"/>
      <c r="E26" s="36" t="s">
        <v>9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48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 x14ac:dyDescent="0.2">
      <c r="A27" s="4"/>
      <c r="B27" s="19" t="s">
        <v>24</v>
      </c>
      <c r="C27" s="224"/>
      <c r="D27" s="224"/>
      <c r="E27" s="20" t="s">
        <v>11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2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 x14ac:dyDescent="0.2">
      <c r="A28" s="4"/>
      <c r="B28" s="23"/>
      <c r="C28" s="224"/>
      <c r="D28" s="224"/>
      <c r="E28" s="20" t="s">
        <v>12</v>
      </c>
      <c r="F28" s="21">
        <v>0.1</v>
      </c>
      <c r="G28" s="21">
        <v>0.1</v>
      </c>
      <c r="H28" s="24">
        <v>0.1</v>
      </c>
      <c r="I28" s="14">
        <v>0.1</v>
      </c>
      <c r="J28" s="16">
        <v>0.1</v>
      </c>
      <c r="K28" s="15">
        <v>0.1</v>
      </c>
      <c r="L28" s="14">
        <v>0.1</v>
      </c>
      <c r="M28" s="16">
        <v>0.1</v>
      </c>
      <c r="N28" s="15">
        <v>0.1</v>
      </c>
      <c r="O28" s="14">
        <v>0.1</v>
      </c>
      <c r="P28" s="16">
        <v>0.1</v>
      </c>
      <c r="Q28" s="25">
        <v>0.1</v>
      </c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 x14ac:dyDescent="0.2">
      <c r="A29" s="4"/>
      <c r="B29" s="23"/>
      <c r="C29" s="224"/>
      <c r="D29" s="224"/>
      <c r="E29" s="20" t="s">
        <v>13</v>
      </c>
      <c r="F29" s="21"/>
      <c r="G29" s="21"/>
      <c r="H29" s="24"/>
      <c r="I29" s="14"/>
      <c r="J29" s="16"/>
      <c r="K29" s="15"/>
      <c r="L29" s="14"/>
      <c r="M29" s="16"/>
      <c r="N29" s="15"/>
      <c r="O29" s="14"/>
      <c r="P29" s="16"/>
      <c r="Q29" s="2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 x14ac:dyDescent="0.2">
      <c r="A30" s="4"/>
      <c r="B30" s="23"/>
      <c r="C30" s="224"/>
      <c r="D30" s="224"/>
      <c r="E30" s="20" t="s">
        <v>14</v>
      </c>
      <c r="F30" s="21"/>
      <c r="G30" s="21"/>
      <c r="H30" s="24"/>
      <c r="I30" s="14"/>
      <c r="J30" s="16"/>
      <c r="K30" s="15"/>
      <c r="L30" s="14"/>
      <c r="M30" s="16"/>
      <c r="N30" s="15"/>
      <c r="O30" s="14"/>
      <c r="P30" s="16"/>
      <c r="Q30" s="2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 x14ac:dyDescent="0.2">
      <c r="A31" s="4"/>
      <c r="B31" s="23"/>
      <c r="C31" s="224"/>
      <c r="D31" s="224"/>
      <c r="E31" s="20" t="s">
        <v>15</v>
      </c>
      <c r="F31" s="21"/>
      <c r="G31" s="21"/>
      <c r="H31" s="24"/>
      <c r="I31" s="14"/>
      <c r="J31" s="16"/>
      <c r="K31" s="15"/>
      <c r="L31" s="14"/>
      <c r="M31" s="16"/>
      <c r="N31" s="15"/>
      <c r="O31" s="14"/>
      <c r="P31" s="16"/>
      <c r="Q31" s="2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 x14ac:dyDescent="0.2">
      <c r="A32" s="4"/>
      <c r="B32" s="23"/>
      <c r="C32" s="224"/>
      <c r="D32" s="224"/>
      <c r="E32" s="20" t="s">
        <v>16</v>
      </c>
      <c r="F32" s="21"/>
      <c r="G32" s="21"/>
      <c r="H32" s="24"/>
      <c r="I32" s="14"/>
      <c r="J32" s="16"/>
      <c r="K32" s="15"/>
      <c r="L32" s="14"/>
      <c r="M32" s="16"/>
      <c r="N32" s="15"/>
      <c r="O32" s="14"/>
      <c r="P32" s="16"/>
      <c r="Q32" s="2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 x14ac:dyDescent="0.2">
      <c r="A33" s="4"/>
      <c r="B33" s="27"/>
      <c r="C33" s="225"/>
      <c r="D33" s="225"/>
      <c r="E33" s="28" t="s">
        <v>17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 x14ac:dyDescent="0.2">
      <c r="A34" s="4"/>
      <c r="B34" s="42"/>
      <c r="C34" s="43"/>
      <c r="D34" s="43"/>
      <c r="E34" s="44" t="s">
        <v>18</v>
      </c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6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 x14ac:dyDescent="0.2">
      <c r="A35" s="4"/>
      <c r="B35" s="35" t="s">
        <v>25</v>
      </c>
      <c r="C35" s="223" t="s">
        <v>38</v>
      </c>
      <c r="D35" s="223"/>
      <c r="E35" s="13" t="s">
        <v>9</v>
      </c>
      <c r="F35" s="14"/>
      <c r="G35" s="14"/>
      <c r="H35" s="15"/>
      <c r="I35" s="14"/>
      <c r="J35" s="16"/>
      <c r="K35" s="17"/>
      <c r="L35" s="14"/>
      <c r="M35" s="16"/>
      <c r="N35" s="17"/>
      <c r="O35" s="14"/>
      <c r="P35" s="16"/>
      <c r="Q35" s="18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 x14ac:dyDescent="0.2">
      <c r="A36" s="4"/>
      <c r="B36" s="19" t="s">
        <v>26</v>
      </c>
      <c r="C36" s="224"/>
      <c r="D36" s="224"/>
      <c r="E36" s="20" t="s">
        <v>11</v>
      </c>
      <c r="F36" s="21">
        <v>0.05</v>
      </c>
      <c r="G36" s="21">
        <v>0.05</v>
      </c>
      <c r="H36" s="24">
        <v>0.05</v>
      </c>
      <c r="I36" s="21">
        <v>0.05</v>
      </c>
      <c r="J36" s="49">
        <v>0.05</v>
      </c>
      <c r="K36" s="15">
        <v>0.05</v>
      </c>
      <c r="L36" s="21">
        <v>0.05</v>
      </c>
      <c r="M36" s="49">
        <v>0.05</v>
      </c>
      <c r="N36" s="15">
        <v>0.05</v>
      </c>
      <c r="O36" s="21">
        <v>0.05</v>
      </c>
      <c r="P36" s="49">
        <v>0.05</v>
      </c>
      <c r="Q36" s="25">
        <v>0.05</v>
      </c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 x14ac:dyDescent="0.2">
      <c r="A37" s="4"/>
      <c r="B37" s="23"/>
      <c r="C37" s="224"/>
      <c r="D37" s="224"/>
      <c r="E37" s="20" t="s">
        <v>12</v>
      </c>
      <c r="F37" s="21"/>
      <c r="G37" s="21"/>
      <c r="H37" s="24"/>
      <c r="I37" s="14"/>
      <c r="J37" s="16"/>
      <c r="K37" s="15"/>
      <c r="L37" s="14"/>
      <c r="M37" s="16"/>
      <c r="N37" s="15"/>
      <c r="O37" s="14"/>
      <c r="P37" s="16"/>
      <c r="Q37" s="2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 x14ac:dyDescent="0.2">
      <c r="A38" s="4"/>
      <c r="B38" s="23"/>
      <c r="C38" s="224"/>
      <c r="D38" s="224"/>
      <c r="E38" s="20" t="s">
        <v>13</v>
      </c>
      <c r="F38" s="21"/>
      <c r="G38" s="21"/>
      <c r="H38" s="24"/>
      <c r="I38" s="14"/>
      <c r="J38" s="16"/>
      <c r="K38" s="15"/>
      <c r="L38" s="14"/>
      <c r="M38" s="16"/>
      <c r="N38" s="15"/>
      <c r="O38" s="14"/>
      <c r="P38" s="16"/>
      <c r="Q38" s="2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 x14ac:dyDescent="0.2">
      <c r="A39" s="4"/>
      <c r="B39" s="23"/>
      <c r="C39" s="224"/>
      <c r="D39" s="224"/>
      <c r="E39" s="20" t="s">
        <v>14</v>
      </c>
      <c r="F39" s="21"/>
      <c r="G39" s="21"/>
      <c r="H39" s="24"/>
      <c r="I39" s="14"/>
      <c r="J39" s="16"/>
      <c r="K39" s="15"/>
      <c r="L39" s="14"/>
      <c r="M39" s="16"/>
      <c r="N39" s="15"/>
      <c r="O39" s="14"/>
      <c r="P39" s="16"/>
      <c r="Q39" s="2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 x14ac:dyDescent="0.2">
      <c r="A40" s="4"/>
      <c r="B40" s="23"/>
      <c r="C40" s="224"/>
      <c r="D40" s="224"/>
      <c r="E40" s="20" t="s">
        <v>15</v>
      </c>
      <c r="F40" s="21"/>
      <c r="G40" s="21"/>
      <c r="H40" s="24"/>
      <c r="I40" s="14"/>
      <c r="J40" s="16"/>
      <c r="K40" s="15"/>
      <c r="L40" s="14"/>
      <c r="M40" s="16"/>
      <c r="N40" s="15"/>
      <c r="O40" s="14"/>
      <c r="P40" s="16"/>
      <c r="Q40" s="2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 x14ac:dyDescent="0.2">
      <c r="A41" s="4"/>
      <c r="B41" s="23"/>
      <c r="C41" s="224"/>
      <c r="D41" s="224"/>
      <c r="E41" s="20" t="s">
        <v>16</v>
      </c>
      <c r="F41" s="21"/>
      <c r="G41" s="21"/>
      <c r="H41" s="24"/>
      <c r="I41" s="14"/>
      <c r="J41" s="16"/>
      <c r="K41" s="15"/>
      <c r="L41" s="14"/>
      <c r="M41" s="16"/>
      <c r="N41" s="15"/>
      <c r="O41" s="14"/>
      <c r="P41" s="16"/>
      <c r="Q41" s="2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 x14ac:dyDescent="0.2">
      <c r="A42" s="4"/>
      <c r="B42" s="27"/>
      <c r="C42" s="225"/>
      <c r="D42" s="225"/>
      <c r="E42" s="28" t="s">
        <v>17</v>
      </c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30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 x14ac:dyDescent="0.2">
      <c r="A43" s="4"/>
      <c r="B43" s="31"/>
      <c r="C43" s="32"/>
      <c r="D43" s="32"/>
      <c r="E43" s="32" t="s">
        <v>18</v>
      </c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4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 x14ac:dyDescent="0.2">
      <c r="A44" s="4"/>
      <c r="B44" s="35" t="s">
        <v>107</v>
      </c>
      <c r="C44" s="223" t="s">
        <v>38</v>
      </c>
      <c r="D44" s="223"/>
      <c r="E44" s="36" t="s">
        <v>9</v>
      </c>
      <c r="F44" s="37"/>
      <c r="G44" s="37"/>
      <c r="H44" s="38"/>
      <c r="I44" s="37"/>
      <c r="J44" s="39"/>
      <c r="K44" s="40"/>
      <c r="L44" s="37"/>
      <c r="M44" s="39"/>
      <c r="N44" s="40"/>
      <c r="O44" s="37"/>
      <c r="P44" s="39"/>
      <c r="Q44" s="41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 x14ac:dyDescent="0.2">
      <c r="A45" s="4"/>
      <c r="B45" s="19" t="s">
        <v>28</v>
      </c>
      <c r="C45" s="224"/>
      <c r="D45" s="224"/>
      <c r="E45" s="20" t="s">
        <v>11</v>
      </c>
      <c r="F45" s="21"/>
      <c r="G45" s="21"/>
      <c r="H45" s="24"/>
      <c r="I45" s="21"/>
      <c r="J45" s="49"/>
      <c r="K45" s="15"/>
      <c r="L45" s="21"/>
      <c r="M45" s="49"/>
      <c r="N45" s="15"/>
      <c r="O45" s="21"/>
      <c r="P45" s="49"/>
      <c r="Q45" s="2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 x14ac:dyDescent="0.2">
      <c r="A46" s="4"/>
      <c r="B46" s="23"/>
      <c r="C46" s="224"/>
      <c r="D46" s="224"/>
      <c r="E46" s="20" t="s">
        <v>12</v>
      </c>
      <c r="F46" s="21"/>
      <c r="G46" s="21"/>
      <c r="H46" s="24"/>
      <c r="I46" s="14"/>
      <c r="J46" s="16"/>
      <c r="K46" s="15"/>
      <c r="L46" s="14">
        <v>0.1</v>
      </c>
      <c r="M46" s="16">
        <v>0.1</v>
      </c>
      <c r="N46" s="15">
        <v>0.1</v>
      </c>
      <c r="O46" s="14">
        <v>0.15</v>
      </c>
      <c r="P46" s="16">
        <v>0.15</v>
      </c>
      <c r="Q46" s="25">
        <v>0.15</v>
      </c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 x14ac:dyDescent="0.2">
      <c r="A47" s="4"/>
      <c r="B47" s="23"/>
      <c r="C47" s="224"/>
      <c r="D47" s="224"/>
      <c r="E47" s="20" t="s">
        <v>13</v>
      </c>
      <c r="F47" s="21"/>
      <c r="G47" s="21"/>
      <c r="H47" s="24"/>
      <c r="I47" s="14"/>
      <c r="J47" s="16"/>
      <c r="K47" s="15"/>
      <c r="L47" s="14"/>
      <c r="M47" s="16"/>
      <c r="N47" s="15"/>
      <c r="O47" s="14"/>
      <c r="P47" s="16"/>
      <c r="Q47" s="2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 x14ac:dyDescent="0.2">
      <c r="A48" s="4"/>
      <c r="B48" s="23"/>
      <c r="C48" s="224"/>
      <c r="D48" s="224"/>
      <c r="E48" s="20" t="s">
        <v>14</v>
      </c>
      <c r="F48" s="21"/>
      <c r="G48" s="21"/>
      <c r="H48" s="24"/>
      <c r="I48" s="14"/>
      <c r="J48" s="16"/>
      <c r="K48" s="15"/>
      <c r="L48" s="14"/>
      <c r="M48" s="16"/>
      <c r="N48" s="15"/>
      <c r="O48" s="14"/>
      <c r="P48" s="16"/>
      <c r="Q48" s="2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 x14ac:dyDescent="0.2">
      <c r="A49" s="4"/>
      <c r="B49" s="23"/>
      <c r="C49" s="224"/>
      <c r="D49" s="224"/>
      <c r="E49" s="20" t="s">
        <v>15</v>
      </c>
      <c r="F49" s="21"/>
      <c r="G49" s="21"/>
      <c r="H49" s="24"/>
      <c r="I49" s="14"/>
      <c r="J49" s="16"/>
      <c r="K49" s="15"/>
      <c r="L49" s="14"/>
      <c r="M49" s="16"/>
      <c r="N49" s="15"/>
      <c r="O49" s="14"/>
      <c r="P49" s="16"/>
      <c r="Q49" s="2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 x14ac:dyDescent="0.2">
      <c r="A50" s="4"/>
      <c r="B50" s="23"/>
      <c r="C50" s="224"/>
      <c r="D50" s="224"/>
      <c r="E50" s="20" t="s">
        <v>16</v>
      </c>
      <c r="F50" s="21"/>
      <c r="G50" s="21"/>
      <c r="H50" s="24"/>
      <c r="I50" s="14"/>
      <c r="J50" s="16"/>
      <c r="K50" s="15"/>
      <c r="L50" s="14"/>
      <c r="M50" s="16"/>
      <c r="N50" s="15"/>
      <c r="O50" s="14"/>
      <c r="P50" s="16"/>
      <c r="Q50" s="2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 x14ac:dyDescent="0.2">
      <c r="A51" s="4"/>
      <c r="B51" s="27"/>
      <c r="C51" s="225"/>
      <c r="D51" s="225"/>
      <c r="E51" s="28" t="s">
        <v>17</v>
      </c>
      <c r="F51" s="29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1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 x14ac:dyDescent="0.2">
      <c r="A52" s="4"/>
      <c r="B52" s="42"/>
      <c r="C52" s="43"/>
      <c r="D52" s="43"/>
      <c r="E52" s="44" t="s">
        <v>18</v>
      </c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6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 x14ac:dyDescent="0.2">
      <c r="A53" s="4"/>
      <c r="B53" s="35" t="s">
        <v>48</v>
      </c>
      <c r="C53" s="223" t="s">
        <v>38</v>
      </c>
      <c r="D53" s="223"/>
      <c r="E53" s="36" t="s">
        <v>9</v>
      </c>
      <c r="F53" s="37"/>
      <c r="G53" s="37"/>
      <c r="H53" s="38"/>
      <c r="I53" s="37"/>
      <c r="J53" s="39"/>
      <c r="K53" s="40"/>
      <c r="L53" s="37"/>
      <c r="M53" s="39"/>
      <c r="N53" s="40"/>
      <c r="O53" s="37"/>
      <c r="P53" s="39"/>
      <c r="Q53" s="41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 x14ac:dyDescent="0.2">
      <c r="A54" s="4"/>
      <c r="B54" s="19" t="s">
        <v>49</v>
      </c>
      <c r="C54" s="224"/>
      <c r="D54" s="224"/>
      <c r="E54" s="20" t="s">
        <v>11</v>
      </c>
      <c r="F54" s="21"/>
      <c r="G54" s="21"/>
      <c r="H54" s="24"/>
      <c r="I54" s="21"/>
      <c r="J54" s="49"/>
      <c r="K54" s="15"/>
      <c r="L54" s="21"/>
      <c r="M54" s="49"/>
      <c r="N54" s="15"/>
      <c r="O54" s="21"/>
      <c r="P54" s="49"/>
      <c r="Q54" s="2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 x14ac:dyDescent="0.2">
      <c r="A55" s="4"/>
      <c r="B55" s="23"/>
      <c r="C55" s="224"/>
      <c r="D55" s="224"/>
      <c r="E55" s="20" t="s">
        <v>12</v>
      </c>
      <c r="F55" s="21"/>
      <c r="G55" s="21"/>
      <c r="H55" s="24"/>
      <c r="I55" s="14"/>
      <c r="J55" s="16"/>
      <c r="K55" s="15"/>
      <c r="L55" s="14"/>
      <c r="M55" s="16"/>
      <c r="N55" s="15"/>
      <c r="O55" s="14"/>
      <c r="P55" s="16"/>
      <c r="Q55" s="2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 x14ac:dyDescent="0.2">
      <c r="A56" s="4"/>
      <c r="B56" s="23"/>
      <c r="C56" s="224"/>
      <c r="D56" s="224"/>
      <c r="E56" s="20" t="s">
        <v>13</v>
      </c>
      <c r="F56" s="21"/>
      <c r="G56" s="21"/>
      <c r="H56" s="24"/>
      <c r="I56" s="14"/>
      <c r="J56" s="16"/>
      <c r="K56" s="15"/>
      <c r="L56" s="14"/>
      <c r="M56" s="16"/>
      <c r="N56" s="15"/>
      <c r="O56" s="14"/>
      <c r="P56" s="16"/>
      <c r="Q56" s="2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 x14ac:dyDescent="0.2">
      <c r="A57" s="4"/>
      <c r="B57" s="23"/>
      <c r="C57" s="224"/>
      <c r="D57" s="224"/>
      <c r="E57" s="20" t="s">
        <v>14</v>
      </c>
      <c r="F57" s="21">
        <v>0.15</v>
      </c>
      <c r="G57" s="21">
        <v>0.15</v>
      </c>
      <c r="H57" s="24">
        <v>0.15</v>
      </c>
      <c r="I57" s="24"/>
      <c r="J57" s="24"/>
      <c r="K57" s="24"/>
      <c r="L57" s="24"/>
      <c r="M57" s="24"/>
      <c r="N57" s="24"/>
      <c r="O57" s="24"/>
      <c r="P57" s="24"/>
      <c r="Q57" s="22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 x14ac:dyDescent="0.2">
      <c r="A58" s="4"/>
      <c r="B58" s="23"/>
      <c r="C58" s="224"/>
      <c r="D58" s="224"/>
      <c r="E58" s="20" t="s">
        <v>15</v>
      </c>
      <c r="F58" s="21"/>
      <c r="G58" s="21"/>
      <c r="H58" s="24"/>
      <c r="I58" s="14"/>
      <c r="J58" s="16"/>
      <c r="K58" s="15"/>
      <c r="L58" s="14"/>
      <c r="M58" s="16"/>
      <c r="N58" s="15"/>
      <c r="O58" s="14"/>
      <c r="P58" s="16"/>
      <c r="Q58" s="2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 x14ac:dyDescent="0.2">
      <c r="A59" s="4"/>
      <c r="B59" s="23"/>
      <c r="C59" s="224"/>
      <c r="D59" s="224"/>
      <c r="E59" s="20" t="s">
        <v>16</v>
      </c>
      <c r="F59" s="21"/>
      <c r="G59" s="21"/>
      <c r="H59" s="24"/>
      <c r="I59" s="14"/>
      <c r="J59" s="16"/>
      <c r="K59" s="15"/>
      <c r="L59" s="14"/>
      <c r="M59" s="16"/>
      <c r="N59" s="15"/>
      <c r="O59" s="14"/>
      <c r="P59" s="16"/>
      <c r="Q59" s="2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 x14ac:dyDescent="0.2">
      <c r="A60" s="4"/>
      <c r="B60" s="27"/>
      <c r="C60" s="225"/>
      <c r="D60" s="225"/>
      <c r="E60" s="28" t="s">
        <v>17</v>
      </c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30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 x14ac:dyDescent="0.2">
      <c r="A61" s="4"/>
      <c r="B61" s="42"/>
      <c r="C61" s="43"/>
      <c r="D61" s="43"/>
      <c r="E61" s="44" t="s">
        <v>18</v>
      </c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6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 x14ac:dyDescent="0.2">
      <c r="A62" s="4"/>
      <c r="B62" s="35" t="s">
        <v>29</v>
      </c>
      <c r="C62" s="223" t="s">
        <v>38</v>
      </c>
      <c r="D62" s="223"/>
      <c r="E62" s="13" t="s">
        <v>9</v>
      </c>
      <c r="F62" s="52"/>
      <c r="G62" s="52"/>
      <c r="H62" s="53"/>
      <c r="I62" s="52"/>
      <c r="J62" s="54"/>
      <c r="K62" s="55"/>
      <c r="L62" s="52"/>
      <c r="M62" s="16"/>
      <c r="N62" s="17"/>
      <c r="O62" s="14"/>
      <c r="P62" s="16"/>
      <c r="Q62" s="18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 x14ac:dyDescent="0.2">
      <c r="A63" s="4"/>
      <c r="B63" s="19" t="s">
        <v>30</v>
      </c>
      <c r="C63" s="224"/>
      <c r="D63" s="224"/>
      <c r="E63" s="20" t="s">
        <v>11</v>
      </c>
      <c r="F63" s="56">
        <v>0.05</v>
      </c>
      <c r="G63" s="56">
        <v>0.05</v>
      </c>
      <c r="H63" s="57">
        <v>0.05</v>
      </c>
      <c r="I63" s="56">
        <v>0.05</v>
      </c>
      <c r="J63" s="58">
        <v>0.05</v>
      </c>
      <c r="K63" s="53">
        <v>0.05</v>
      </c>
      <c r="L63" s="56">
        <v>0.05</v>
      </c>
      <c r="M63" s="49">
        <v>0.05</v>
      </c>
      <c r="N63" s="15">
        <v>0.05</v>
      </c>
      <c r="O63" s="21">
        <v>0.05</v>
      </c>
      <c r="P63" s="49">
        <v>0.05</v>
      </c>
      <c r="Q63" s="25">
        <v>0.05</v>
      </c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 x14ac:dyDescent="0.2">
      <c r="A64" s="4"/>
      <c r="B64" s="23"/>
      <c r="C64" s="224"/>
      <c r="D64" s="224"/>
      <c r="E64" s="20" t="s">
        <v>12</v>
      </c>
      <c r="F64" s="56"/>
      <c r="G64" s="56"/>
      <c r="H64" s="57"/>
      <c r="I64" s="52"/>
      <c r="J64" s="54"/>
      <c r="K64" s="53"/>
      <c r="L64" s="52"/>
      <c r="M64" s="16"/>
      <c r="N64" s="15"/>
      <c r="O64" s="14"/>
      <c r="P64" s="16"/>
      <c r="Q64" s="2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 x14ac:dyDescent="0.2">
      <c r="A65" s="4"/>
      <c r="B65" s="23"/>
      <c r="C65" s="224"/>
      <c r="D65" s="224"/>
      <c r="E65" s="20" t="s">
        <v>13</v>
      </c>
      <c r="F65" s="56"/>
      <c r="G65" s="56"/>
      <c r="H65" s="57"/>
      <c r="I65" s="52"/>
      <c r="J65" s="54"/>
      <c r="K65" s="53"/>
      <c r="L65" s="52"/>
      <c r="M65" s="16"/>
      <c r="N65" s="15"/>
      <c r="O65" s="14"/>
      <c r="P65" s="16"/>
      <c r="Q65" s="2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 x14ac:dyDescent="0.2">
      <c r="A66" s="4"/>
      <c r="B66" s="23"/>
      <c r="C66" s="224"/>
      <c r="D66" s="224"/>
      <c r="E66" s="20" t="s">
        <v>14</v>
      </c>
      <c r="F66" s="56"/>
      <c r="G66" s="56"/>
      <c r="H66" s="57"/>
      <c r="I66" s="52"/>
      <c r="J66" s="54"/>
      <c r="K66" s="53"/>
      <c r="L66" s="52"/>
      <c r="M66" s="16"/>
      <c r="N66" s="15"/>
      <c r="O66" s="14"/>
      <c r="P66" s="16"/>
      <c r="Q66" s="2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 x14ac:dyDescent="0.2">
      <c r="A67" s="4"/>
      <c r="B67" s="23"/>
      <c r="C67" s="224"/>
      <c r="D67" s="224"/>
      <c r="E67" s="20" t="s">
        <v>15</v>
      </c>
      <c r="F67" s="56"/>
      <c r="G67" s="56"/>
      <c r="H67" s="57"/>
      <c r="I67" s="52"/>
      <c r="J67" s="54"/>
      <c r="K67" s="53"/>
      <c r="L67" s="52"/>
      <c r="M67" s="16"/>
      <c r="N67" s="15"/>
      <c r="O67" s="14"/>
      <c r="P67" s="16"/>
      <c r="Q67" s="2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 x14ac:dyDescent="0.2">
      <c r="A68" s="4"/>
      <c r="B68" s="23"/>
      <c r="C68" s="224"/>
      <c r="D68" s="224"/>
      <c r="E68" s="20" t="s">
        <v>16</v>
      </c>
      <c r="F68" s="56"/>
      <c r="G68" s="56"/>
      <c r="H68" s="57"/>
      <c r="I68" s="52"/>
      <c r="J68" s="54"/>
      <c r="K68" s="53"/>
      <c r="L68" s="52"/>
      <c r="M68" s="16"/>
      <c r="N68" s="15"/>
      <c r="O68" s="14"/>
      <c r="P68" s="16"/>
      <c r="Q68" s="2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 x14ac:dyDescent="0.2">
      <c r="A69" s="4"/>
      <c r="B69" s="27"/>
      <c r="C69" s="225"/>
      <c r="D69" s="225"/>
      <c r="E69" s="28" t="s">
        <v>17</v>
      </c>
      <c r="F69" s="59"/>
      <c r="G69" s="59"/>
      <c r="H69" s="59"/>
      <c r="I69" s="59"/>
      <c r="J69" s="59"/>
      <c r="K69" s="59"/>
      <c r="L69" s="59"/>
      <c r="M69" s="29"/>
      <c r="N69" s="29"/>
      <c r="O69" s="29"/>
      <c r="P69" s="29"/>
      <c r="Q69" s="30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 x14ac:dyDescent="0.2">
      <c r="A70" s="4"/>
      <c r="B70" s="31"/>
      <c r="C70" s="32"/>
      <c r="D70" s="32"/>
      <c r="E70" s="32" t="s">
        <v>18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4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 x14ac:dyDescent="0.2">
      <c r="A71" s="4"/>
      <c r="B71" s="35" t="s">
        <v>31</v>
      </c>
      <c r="C71" s="223" t="s">
        <v>38</v>
      </c>
      <c r="D71" s="223"/>
      <c r="E71" s="36" t="s">
        <v>9</v>
      </c>
      <c r="F71" s="60"/>
      <c r="G71" s="60"/>
      <c r="H71" s="79"/>
      <c r="I71" s="60"/>
      <c r="J71" s="80"/>
      <c r="K71" s="81"/>
      <c r="L71" s="60"/>
      <c r="M71" s="39"/>
      <c r="N71" s="40"/>
      <c r="O71" s="37"/>
      <c r="P71" s="39"/>
      <c r="Q71" s="41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 x14ac:dyDescent="0.2">
      <c r="A72" s="4"/>
      <c r="B72" s="19" t="s">
        <v>32</v>
      </c>
      <c r="C72" s="224"/>
      <c r="D72" s="224"/>
      <c r="E72" s="20" t="s">
        <v>11</v>
      </c>
      <c r="F72" s="56">
        <v>0</v>
      </c>
      <c r="G72" s="56">
        <v>0</v>
      </c>
      <c r="H72" s="57">
        <v>0</v>
      </c>
      <c r="I72" s="56">
        <v>0.3</v>
      </c>
      <c r="J72" s="58">
        <v>0.3</v>
      </c>
      <c r="K72" s="53">
        <v>0.3</v>
      </c>
      <c r="L72" s="56">
        <v>0.1</v>
      </c>
      <c r="M72" s="49">
        <v>0.1</v>
      </c>
      <c r="N72" s="15">
        <v>0.1</v>
      </c>
      <c r="O72" s="21">
        <v>0.15</v>
      </c>
      <c r="P72" s="49">
        <v>0.15</v>
      </c>
      <c r="Q72" s="25">
        <v>0.15</v>
      </c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 x14ac:dyDescent="0.2">
      <c r="A73" s="4"/>
      <c r="B73" s="23"/>
      <c r="C73" s="224"/>
      <c r="D73" s="224"/>
      <c r="E73" s="20" t="s">
        <v>12</v>
      </c>
      <c r="F73" s="56"/>
      <c r="G73" s="56"/>
      <c r="H73" s="57"/>
      <c r="I73" s="52"/>
      <c r="J73" s="54"/>
      <c r="K73" s="53"/>
      <c r="L73" s="52"/>
      <c r="M73" s="16"/>
      <c r="N73" s="15"/>
      <c r="O73" s="14"/>
      <c r="P73" s="16"/>
      <c r="Q73" s="2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 x14ac:dyDescent="0.2">
      <c r="A74" s="4"/>
      <c r="B74" s="23"/>
      <c r="C74" s="224"/>
      <c r="D74" s="224"/>
      <c r="E74" s="20" t="s">
        <v>13</v>
      </c>
      <c r="F74" s="56"/>
      <c r="G74" s="56"/>
      <c r="H74" s="57"/>
      <c r="I74" s="52"/>
      <c r="J74" s="54"/>
      <c r="K74" s="53"/>
      <c r="L74" s="52"/>
      <c r="M74" s="16"/>
      <c r="N74" s="15"/>
      <c r="O74" s="14"/>
      <c r="P74" s="16"/>
      <c r="Q74" s="2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 x14ac:dyDescent="0.2">
      <c r="A75" s="4"/>
      <c r="B75" s="23"/>
      <c r="C75" s="224"/>
      <c r="D75" s="224"/>
      <c r="E75" s="20" t="s">
        <v>14</v>
      </c>
      <c r="F75" s="56"/>
      <c r="G75" s="56"/>
      <c r="H75" s="57"/>
      <c r="I75" s="52"/>
      <c r="J75" s="54"/>
      <c r="K75" s="53"/>
      <c r="L75" s="52"/>
      <c r="M75" s="16"/>
      <c r="N75" s="15"/>
      <c r="O75" s="14"/>
      <c r="P75" s="16"/>
      <c r="Q75" s="2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 x14ac:dyDescent="0.2">
      <c r="A76" s="4"/>
      <c r="B76" s="23"/>
      <c r="C76" s="224"/>
      <c r="D76" s="224"/>
      <c r="E76" s="20" t="s">
        <v>15</v>
      </c>
      <c r="F76" s="56"/>
      <c r="G76" s="56"/>
      <c r="H76" s="57"/>
      <c r="I76" s="52"/>
      <c r="J76" s="54"/>
      <c r="K76" s="53"/>
      <c r="L76" s="52"/>
      <c r="M76" s="16"/>
      <c r="N76" s="15"/>
      <c r="O76" s="14"/>
      <c r="P76" s="16"/>
      <c r="Q76" s="2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 x14ac:dyDescent="0.2">
      <c r="A77" s="4"/>
      <c r="B77" s="23"/>
      <c r="C77" s="224"/>
      <c r="D77" s="224"/>
      <c r="E77" s="20" t="s">
        <v>16</v>
      </c>
      <c r="F77" s="56"/>
      <c r="G77" s="56"/>
      <c r="H77" s="57"/>
      <c r="I77" s="52"/>
      <c r="J77" s="54"/>
      <c r="K77" s="53"/>
      <c r="L77" s="52"/>
      <c r="M77" s="16"/>
      <c r="N77" s="15"/>
      <c r="O77" s="14"/>
      <c r="P77" s="16"/>
      <c r="Q77" s="2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 x14ac:dyDescent="0.2">
      <c r="A78" s="4"/>
      <c r="B78" s="27"/>
      <c r="C78" s="225"/>
      <c r="D78" s="225"/>
      <c r="E78" s="28" t="s">
        <v>17</v>
      </c>
      <c r="F78" s="59"/>
      <c r="G78" s="59"/>
      <c r="H78" s="59"/>
      <c r="I78" s="59"/>
      <c r="J78" s="59"/>
      <c r="K78" s="59"/>
      <c r="L78" s="59"/>
      <c r="M78" s="29"/>
      <c r="N78" s="29"/>
      <c r="O78" s="29"/>
      <c r="P78" s="29"/>
      <c r="Q78" s="30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 x14ac:dyDescent="0.2">
      <c r="A79" s="4"/>
      <c r="B79" s="42"/>
      <c r="C79" s="43"/>
      <c r="D79" s="43"/>
      <c r="E79" s="44" t="s">
        <v>18</v>
      </c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6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 x14ac:dyDescent="0.2">
      <c r="A80" s="4"/>
      <c r="B80" s="35" t="s">
        <v>100</v>
      </c>
      <c r="C80" s="223" t="s">
        <v>38</v>
      </c>
      <c r="D80" s="223"/>
      <c r="E80" s="36" t="s">
        <v>9</v>
      </c>
      <c r="F80" s="60"/>
      <c r="G80" s="60"/>
      <c r="H80" s="79"/>
      <c r="I80" s="60"/>
      <c r="J80" s="80"/>
      <c r="K80" s="81"/>
      <c r="L80" s="60"/>
      <c r="M80" s="80"/>
      <c r="N80" s="81"/>
      <c r="O80" s="60"/>
      <c r="P80" s="80"/>
      <c r="Q80" s="41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 x14ac:dyDescent="0.2">
      <c r="A81" s="4"/>
      <c r="B81" s="19" t="s">
        <v>32</v>
      </c>
      <c r="C81" s="224"/>
      <c r="D81" s="224"/>
      <c r="E81" s="20" t="s">
        <v>11</v>
      </c>
      <c r="F81" s="56"/>
      <c r="G81" s="56"/>
      <c r="H81" s="57"/>
      <c r="I81" s="56"/>
      <c r="J81" s="58"/>
      <c r="K81" s="53"/>
      <c r="L81" s="56"/>
      <c r="M81" s="58"/>
      <c r="N81" s="53"/>
      <c r="O81" s="56"/>
      <c r="P81" s="58"/>
      <c r="Q81" s="2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 x14ac:dyDescent="0.2">
      <c r="A82" s="4"/>
      <c r="B82" s="23"/>
      <c r="C82" s="224"/>
      <c r="D82" s="224"/>
      <c r="E82" s="20" t="s">
        <v>12</v>
      </c>
      <c r="F82" s="56"/>
      <c r="G82" s="56"/>
      <c r="H82" s="57"/>
      <c r="I82" s="52"/>
      <c r="J82" s="54"/>
      <c r="K82" s="53"/>
      <c r="L82" s="52"/>
      <c r="M82" s="54"/>
      <c r="N82" s="53"/>
      <c r="O82" s="52"/>
      <c r="P82" s="54"/>
      <c r="Q82" s="2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 x14ac:dyDescent="0.2">
      <c r="A83" s="4"/>
      <c r="B83" s="23"/>
      <c r="C83" s="224"/>
      <c r="D83" s="224"/>
      <c r="E83" s="20" t="s">
        <v>13</v>
      </c>
      <c r="F83" s="56"/>
      <c r="G83" s="56"/>
      <c r="H83" s="57"/>
      <c r="I83" s="52"/>
      <c r="J83" s="54"/>
      <c r="K83" s="53"/>
      <c r="L83" s="52"/>
      <c r="M83" s="54"/>
      <c r="N83" s="53"/>
      <c r="O83" s="52"/>
      <c r="P83" s="54"/>
      <c r="Q83" s="2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 x14ac:dyDescent="0.2">
      <c r="A84" s="4"/>
      <c r="B84" s="23"/>
      <c r="C84" s="224"/>
      <c r="D84" s="224"/>
      <c r="E84" s="20" t="s">
        <v>14</v>
      </c>
      <c r="F84" s="56"/>
      <c r="G84" s="56"/>
      <c r="H84" s="57"/>
      <c r="I84" s="52"/>
      <c r="J84" s="54"/>
      <c r="K84" s="53"/>
      <c r="L84" s="52"/>
      <c r="M84" s="54"/>
      <c r="N84" s="53"/>
      <c r="O84" s="52"/>
      <c r="P84" s="54"/>
      <c r="Q84" s="2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 x14ac:dyDescent="0.2">
      <c r="A85" s="4"/>
      <c r="B85" s="23"/>
      <c r="C85" s="224"/>
      <c r="D85" s="224"/>
      <c r="E85" s="20" t="s">
        <v>15</v>
      </c>
      <c r="F85" s="56"/>
      <c r="G85" s="56"/>
      <c r="H85" s="57"/>
      <c r="I85" s="52"/>
      <c r="J85" s="54"/>
      <c r="K85" s="53"/>
      <c r="L85" s="52"/>
      <c r="M85" s="54"/>
      <c r="N85" s="53"/>
      <c r="O85" s="52"/>
      <c r="P85" s="54"/>
      <c r="Q85" s="2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 x14ac:dyDescent="0.2">
      <c r="A86" s="4"/>
      <c r="B86" s="23"/>
      <c r="C86" s="224"/>
      <c r="D86" s="224"/>
      <c r="E86" s="20" t="s">
        <v>16</v>
      </c>
      <c r="F86" s="56"/>
      <c r="G86" s="56"/>
      <c r="H86" s="57"/>
      <c r="I86" s="52"/>
      <c r="J86" s="54"/>
      <c r="K86" s="53"/>
      <c r="L86" s="52"/>
      <c r="M86" s="54"/>
      <c r="N86" s="53"/>
      <c r="O86" s="52"/>
      <c r="P86" s="54"/>
      <c r="Q86" s="2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 x14ac:dyDescent="0.2">
      <c r="A87" s="4"/>
      <c r="B87" s="27"/>
      <c r="C87" s="225"/>
      <c r="D87" s="225"/>
      <c r="E87" s="28" t="s">
        <v>17</v>
      </c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30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 x14ac:dyDescent="0.2">
      <c r="A88" s="4"/>
      <c r="B88" s="42"/>
      <c r="C88" s="43"/>
      <c r="D88" s="43"/>
      <c r="E88" s="44" t="s">
        <v>18</v>
      </c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6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 x14ac:dyDescent="0.2">
      <c r="A89" s="4"/>
      <c r="B89" s="35" t="s">
        <v>37</v>
      </c>
      <c r="C89" s="223"/>
      <c r="D89" s="223" t="s">
        <v>38</v>
      </c>
      <c r="E89" s="36" t="s">
        <v>9</v>
      </c>
      <c r="F89" s="37"/>
      <c r="G89" s="37"/>
      <c r="H89" s="38"/>
      <c r="I89" s="37"/>
      <c r="J89" s="39"/>
      <c r="K89" s="40"/>
      <c r="L89" s="37"/>
      <c r="M89" s="39"/>
      <c r="N89" s="40"/>
      <c r="O89" s="37"/>
      <c r="P89" s="39"/>
      <c r="Q89" s="41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 x14ac:dyDescent="0.2">
      <c r="A90" s="4"/>
      <c r="B90" s="19" t="s">
        <v>34</v>
      </c>
      <c r="C90" s="224"/>
      <c r="D90" s="224"/>
      <c r="E90" s="20" t="s">
        <v>11</v>
      </c>
      <c r="F90" s="21"/>
      <c r="G90" s="21"/>
      <c r="H90" s="24"/>
      <c r="I90" s="21"/>
      <c r="J90" s="49"/>
      <c r="K90" s="15"/>
      <c r="L90" s="21"/>
      <c r="M90" s="49"/>
      <c r="N90" s="15"/>
      <c r="O90" s="21"/>
      <c r="P90" s="49"/>
      <c r="Q90" s="2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 x14ac:dyDescent="0.2">
      <c r="A91" s="4"/>
      <c r="B91" s="23"/>
      <c r="C91" s="224"/>
      <c r="D91" s="224"/>
      <c r="E91" s="20" t="s">
        <v>12</v>
      </c>
      <c r="F91" s="21"/>
      <c r="G91" s="21"/>
      <c r="H91" s="24"/>
      <c r="I91" s="14"/>
      <c r="J91" s="16"/>
      <c r="K91" s="15"/>
      <c r="L91" s="14"/>
      <c r="M91" s="16"/>
      <c r="N91" s="15"/>
      <c r="O91" s="14"/>
      <c r="P91" s="16"/>
      <c r="Q91" s="2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 x14ac:dyDescent="0.2">
      <c r="A92" s="4"/>
      <c r="B92" s="23"/>
      <c r="C92" s="224"/>
      <c r="D92" s="224"/>
      <c r="E92" s="20" t="s">
        <v>13</v>
      </c>
      <c r="F92" s="21">
        <v>0.05</v>
      </c>
      <c r="G92" s="21">
        <v>0.05</v>
      </c>
      <c r="H92" s="21">
        <v>0.05</v>
      </c>
      <c r="I92" s="14">
        <v>0.05</v>
      </c>
      <c r="J92" s="14">
        <v>0.05</v>
      </c>
      <c r="K92" s="14">
        <v>0.05</v>
      </c>
      <c r="L92" s="14">
        <v>0.05</v>
      </c>
      <c r="M92" s="14">
        <v>0.05</v>
      </c>
      <c r="N92" s="14">
        <v>0.05</v>
      </c>
      <c r="O92" s="14">
        <v>0.05</v>
      </c>
      <c r="P92" s="14">
        <v>0.05</v>
      </c>
      <c r="Q92" s="25">
        <v>0.05</v>
      </c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 x14ac:dyDescent="0.2">
      <c r="A93" s="4"/>
      <c r="B93" s="23"/>
      <c r="C93" s="224"/>
      <c r="D93" s="224"/>
      <c r="E93" s="20" t="s">
        <v>14</v>
      </c>
      <c r="F93" s="21"/>
      <c r="G93" s="21"/>
      <c r="H93" s="24"/>
      <c r="I93" s="14"/>
      <c r="J93" s="16"/>
      <c r="K93" s="15"/>
      <c r="L93" s="14"/>
      <c r="M93" s="16"/>
      <c r="N93" s="15"/>
      <c r="O93" s="14"/>
      <c r="P93" s="16"/>
      <c r="Q93" s="2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 x14ac:dyDescent="0.2">
      <c r="A94" s="4"/>
      <c r="B94" s="23"/>
      <c r="C94" s="224"/>
      <c r="D94" s="224"/>
      <c r="E94" s="20" t="s">
        <v>15</v>
      </c>
      <c r="F94" s="21"/>
      <c r="G94" s="21"/>
      <c r="H94" s="24"/>
      <c r="I94" s="14"/>
      <c r="J94" s="16"/>
      <c r="K94" s="15"/>
      <c r="L94" s="14"/>
      <c r="M94" s="16"/>
      <c r="N94" s="15"/>
      <c r="O94" s="14"/>
      <c r="P94" s="16"/>
      <c r="Q94" s="2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 x14ac:dyDescent="0.2">
      <c r="A95" s="4"/>
      <c r="B95" s="23"/>
      <c r="C95" s="224"/>
      <c r="D95" s="224"/>
      <c r="E95" s="20" t="s">
        <v>16</v>
      </c>
      <c r="F95" s="21"/>
      <c r="G95" s="21"/>
      <c r="H95" s="24"/>
      <c r="I95" s="14"/>
      <c r="J95" s="16"/>
      <c r="K95" s="15"/>
      <c r="L95" s="14"/>
      <c r="M95" s="16"/>
      <c r="N95" s="15"/>
      <c r="O95" s="14"/>
      <c r="P95" s="16"/>
      <c r="Q95" s="2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 x14ac:dyDescent="0.2">
      <c r="A96" s="4"/>
      <c r="B96" s="27"/>
      <c r="C96" s="225"/>
      <c r="D96" s="225"/>
      <c r="E96" s="28" t="s">
        <v>17</v>
      </c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30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 x14ac:dyDescent="0.2">
      <c r="A97" s="4"/>
      <c r="B97" s="42"/>
      <c r="C97" s="43"/>
      <c r="D97" s="43"/>
      <c r="E97" s="44" t="s">
        <v>18</v>
      </c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6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 x14ac:dyDescent="0.2">
      <c r="A98" s="4"/>
      <c r="B98" s="35" t="s">
        <v>39</v>
      </c>
      <c r="C98" s="223"/>
      <c r="D98" s="223" t="s">
        <v>38</v>
      </c>
      <c r="E98" s="36" t="s">
        <v>9</v>
      </c>
      <c r="F98" s="38"/>
      <c r="G98" s="37"/>
      <c r="H98" s="38"/>
      <c r="I98" s="37"/>
      <c r="J98" s="39"/>
      <c r="K98" s="40"/>
      <c r="L98" s="37"/>
      <c r="M98" s="39"/>
      <c r="N98" s="40"/>
      <c r="O98" s="37"/>
      <c r="P98" s="39"/>
      <c r="Q98" s="41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 x14ac:dyDescent="0.2">
      <c r="A99" s="4"/>
      <c r="B99" s="19" t="s">
        <v>34</v>
      </c>
      <c r="C99" s="224"/>
      <c r="D99" s="224"/>
      <c r="E99" s="20" t="s">
        <v>11</v>
      </c>
      <c r="F99" s="24"/>
      <c r="G99" s="21"/>
      <c r="H99" s="24"/>
      <c r="I99" s="21"/>
      <c r="J99" s="49"/>
      <c r="K99" s="15"/>
      <c r="L99" s="21"/>
      <c r="M99" s="49"/>
      <c r="N99" s="15"/>
      <c r="O99" s="21"/>
      <c r="P99" s="49"/>
      <c r="Q99" s="2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 x14ac:dyDescent="0.2">
      <c r="A100" s="4"/>
      <c r="B100" s="23"/>
      <c r="C100" s="224"/>
      <c r="D100" s="224"/>
      <c r="E100" s="20" t="s">
        <v>12</v>
      </c>
      <c r="F100" s="24"/>
      <c r="G100" s="21"/>
      <c r="H100" s="24"/>
      <c r="I100" s="14"/>
      <c r="J100" s="16"/>
      <c r="K100" s="15"/>
      <c r="L100" s="14"/>
      <c r="M100" s="16"/>
      <c r="N100" s="15"/>
      <c r="O100" s="14"/>
      <c r="P100" s="16"/>
      <c r="Q100" s="2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 x14ac:dyDescent="0.2">
      <c r="A101" s="4"/>
      <c r="B101" s="23"/>
      <c r="C101" s="224"/>
      <c r="D101" s="224"/>
      <c r="E101" s="20" t="s">
        <v>13</v>
      </c>
      <c r="F101" s="24">
        <v>0.05</v>
      </c>
      <c r="G101" s="24">
        <v>0.05</v>
      </c>
      <c r="H101" s="24">
        <v>0.05</v>
      </c>
      <c r="I101" s="24">
        <v>0.05</v>
      </c>
      <c r="J101" s="24">
        <v>0.05</v>
      </c>
      <c r="K101" s="24">
        <v>0.05</v>
      </c>
      <c r="L101" s="24">
        <v>0.05</v>
      </c>
      <c r="M101" s="24">
        <v>0.05</v>
      </c>
      <c r="N101" s="24">
        <v>0.05</v>
      </c>
      <c r="O101" s="24">
        <v>0.05</v>
      </c>
      <c r="P101" s="24">
        <v>0.05</v>
      </c>
      <c r="Q101" s="22">
        <v>0.05</v>
      </c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 x14ac:dyDescent="0.2">
      <c r="A102" s="4"/>
      <c r="B102" s="23"/>
      <c r="C102" s="224"/>
      <c r="D102" s="224"/>
      <c r="E102" s="20" t="s">
        <v>14</v>
      </c>
      <c r="F102" s="24"/>
      <c r="G102" s="21"/>
      <c r="H102" s="24"/>
      <c r="I102" s="14"/>
      <c r="J102" s="16"/>
      <c r="K102" s="15"/>
      <c r="L102" s="14"/>
      <c r="M102" s="16"/>
      <c r="N102" s="15"/>
      <c r="O102" s="14"/>
      <c r="P102" s="16"/>
      <c r="Q102" s="2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 x14ac:dyDescent="0.2">
      <c r="A103" s="4"/>
      <c r="B103" s="23"/>
      <c r="C103" s="224"/>
      <c r="D103" s="224"/>
      <c r="E103" s="20" t="s">
        <v>15</v>
      </c>
      <c r="F103" s="24"/>
      <c r="G103" s="21"/>
      <c r="H103" s="24"/>
      <c r="I103" s="14"/>
      <c r="J103" s="16"/>
      <c r="K103" s="15"/>
      <c r="L103" s="14"/>
      <c r="M103" s="16"/>
      <c r="N103" s="15"/>
      <c r="O103" s="14"/>
      <c r="P103" s="16"/>
      <c r="Q103" s="2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 x14ac:dyDescent="0.2">
      <c r="A104" s="4"/>
      <c r="B104" s="23"/>
      <c r="C104" s="224"/>
      <c r="D104" s="224"/>
      <c r="E104" s="20" t="s">
        <v>16</v>
      </c>
      <c r="F104" s="24"/>
      <c r="G104" s="21"/>
      <c r="H104" s="24"/>
      <c r="I104" s="14"/>
      <c r="J104" s="16"/>
      <c r="K104" s="15"/>
      <c r="L104" s="14"/>
      <c r="M104" s="16"/>
      <c r="N104" s="15"/>
      <c r="O104" s="14"/>
      <c r="P104" s="16"/>
      <c r="Q104" s="2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 x14ac:dyDescent="0.2">
      <c r="A105" s="4"/>
      <c r="B105" s="27"/>
      <c r="C105" s="225"/>
      <c r="D105" s="225"/>
      <c r="E105" s="28" t="s">
        <v>17</v>
      </c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30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 x14ac:dyDescent="0.2">
      <c r="A106" s="4"/>
      <c r="B106" s="42"/>
      <c r="C106" s="43"/>
      <c r="D106" s="43"/>
      <c r="E106" s="44" t="s">
        <v>18</v>
      </c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6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 x14ac:dyDescent="0.2">
      <c r="A107" s="4"/>
      <c r="B107" s="11" t="s">
        <v>33</v>
      </c>
      <c r="C107" s="223" t="s">
        <v>38</v>
      </c>
      <c r="D107" s="223"/>
      <c r="E107" s="13" t="s">
        <v>9</v>
      </c>
      <c r="F107" s="14"/>
      <c r="G107" s="14"/>
      <c r="H107" s="15"/>
      <c r="I107" s="14"/>
      <c r="J107" s="16"/>
      <c r="K107" s="17"/>
      <c r="L107" s="14"/>
      <c r="M107" s="16"/>
      <c r="N107" s="17"/>
      <c r="O107" s="14"/>
      <c r="P107" s="16"/>
      <c r="Q107" s="18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 x14ac:dyDescent="0.2">
      <c r="A108" s="4"/>
      <c r="B108" s="19" t="s">
        <v>34</v>
      </c>
      <c r="C108" s="224"/>
      <c r="D108" s="224"/>
      <c r="E108" s="20" t="s">
        <v>11</v>
      </c>
      <c r="F108" s="21"/>
      <c r="G108" s="21"/>
      <c r="H108" s="24"/>
      <c r="I108" s="21"/>
      <c r="J108" s="49"/>
      <c r="K108" s="15"/>
      <c r="L108" s="21"/>
      <c r="M108" s="49"/>
      <c r="N108" s="15"/>
      <c r="O108" s="21"/>
      <c r="P108" s="49"/>
      <c r="Q108" s="2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 x14ac:dyDescent="0.2">
      <c r="A109" s="4"/>
      <c r="B109" s="23"/>
      <c r="C109" s="224"/>
      <c r="D109" s="224"/>
      <c r="E109" s="20" t="s">
        <v>12</v>
      </c>
      <c r="F109" s="21"/>
      <c r="G109" s="21"/>
      <c r="H109" s="24"/>
      <c r="I109" s="14"/>
      <c r="J109" s="16"/>
      <c r="K109" s="15"/>
      <c r="L109" s="14"/>
      <c r="M109" s="16"/>
      <c r="N109" s="15"/>
      <c r="O109" s="14"/>
      <c r="P109" s="16"/>
      <c r="Q109" s="2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 x14ac:dyDescent="0.2">
      <c r="A110" s="4"/>
      <c r="B110" s="23"/>
      <c r="C110" s="224"/>
      <c r="D110" s="224"/>
      <c r="E110" s="20" t="s">
        <v>13</v>
      </c>
      <c r="F110" s="21">
        <v>0.01</v>
      </c>
      <c r="G110" s="21">
        <v>0.15</v>
      </c>
      <c r="H110" s="24">
        <v>0.15</v>
      </c>
      <c r="I110" s="14">
        <v>0.1</v>
      </c>
      <c r="J110" s="16">
        <v>0.1</v>
      </c>
      <c r="K110" s="15">
        <v>0.1</v>
      </c>
      <c r="L110" s="14">
        <v>0</v>
      </c>
      <c r="M110" s="16">
        <v>0</v>
      </c>
      <c r="N110" s="15">
        <v>0</v>
      </c>
      <c r="O110" s="14">
        <v>0.15</v>
      </c>
      <c r="P110" s="16">
        <v>0.15</v>
      </c>
      <c r="Q110" s="25">
        <v>0.15</v>
      </c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 x14ac:dyDescent="0.2">
      <c r="A111" s="4"/>
      <c r="B111" s="23"/>
      <c r="C111" s="224"/>
      <c r="D111" s="224"/>
      <c r="E111" s="20" t="s">
        <v>14</v>
      </c>
      <c r="F111" s="21"/>
      <c r="G111" s="21"/>
      <c r="H111" s="24"/>
      <c r="I111" s="14"/>
      <c r="J111" s="16"/>
      <c r="K111" s="15"/>
      <c r="L111" s="14"/>
      <c r="M111" s="16"/>
      <c r="N111" s="15"/>
      <c r="O111" s="14"/>
      <c r="P111" s="16"/>
      <c r="Q111" s="2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 x14ac:dyDescent="0.2">
      <c r="A112" s="4"/>
      <c r="B112" s="23"/>
      <c r="C112" s="224"/>
      <c r="D112" s="224"/>
      <c r="E112" s="20" t="s">
        <v>15</v>
      </c>
      <c r="F112" s="21"/>
      <c r="G112" s="21"/>
      <c r="H112" s="24"/>
      <c r="I112" s="14"/>
      <c r="J112" s="16"/>
      <c r="K112" s="15"/>
      <c r="L112" s="14"/>
      <c r="M112" s="16"/>
      <c r="N112" s="15"/>
      <c r="O112" s="14"/>
      <c r="P112" s="16"/>
      <c r="Q112" s="2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 x14ac:dyDescent="0.2">
      <c r="A113" s="4"/>
      <c r="B113" s="23"/>
      <c r="C113" s="224"/>
      <c r="D113" s="224"/>
      <c r="E113" s="20" t="s">
        <v>16</v>
      </c>
      <c r="F113" s="21"/>
      <c r="G113" s="21"/>
      <c r="H113" s="24"/>
      <c r="I113" s="14"/>
      <c r="J113" s="16"/>
      <c r="K113" s="15"/>
      <c r="L113" s="14"/>
      <c r="M113" s="16"/>
      <c r="N113" s="15"/>
      <c r="O113" s="14"/>
      <c r="P113" s="16"/>
      <c r="Q113" s="2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 x14ac:dyDescent="0.2">
      <c r="A114" s="4"/>
      <c r="B114" s="27"/>
      <c r="C114" s="225"/>
      <c r="D114" s="225"/>
      <c r="E114" s="28" t="s">
        <v>17</v>
      </c>
      <c r="F114" s="29"/>
      <c r="G114" s="29"/>
      <c r="H114" s="29"/>
      <c r="I114" s="50"/>
      <c r="J114" s="50"/>
      <c r="K114" s="50"/>
      <c r="L114" s="50"/>
      <c r="M114" s="50"/>
      <c r="N114" s="50"/>
      <c r="O114" s="50"/>
      <c r="P114" s="50"/>
      <c r="Q114" s="51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 x14ac:dyDescent="0.2">
      <c r="A115" s="4"/>
      <c r="B115" s="42"/>
      <c r="C115" s="43"/>
      <c r="D115" s="43"/>
      <c r="E115" s="44" t="s">
        <v>18</v>
      </c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6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 x14ac:dyDescent="0.2">
      <c r="A116" s="4"/>
      <c r="B116" s="11" t="s">
        <v>35</v>
      </c>
      <c r="C116" s="223" t="s">
        <v>38</v>
      </c>
      <c r="D116" s="223"/>
      <c r="E116" s="13" t="s">
        <v>9</v>
      </c>
      <c r="F116" s="14"/>
      <c r="G116" s="14"/>
      <c r="H116" s="15"/>
      <c r="I116" s="14"/>
      <c r="J116" s="16"/>
      <c r="K116" s="17"/>
      <c r="L116" s="14"/>
      <c r="M116" s="16"/>
      <c r="N116" s="17"/>
      <c r="O116" s="14"/>
      <c r="P116" s="16"/>
      <c r="Q116" s="18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 x14ac:dyDescent="0.2">
      <c r="A117" s="4"/>
      <c r="B117" s="19" t="s">
        <v>36</v>
      </c>
      <c r="C117" s="224"/>
      <c r="D117" s="224"/>
      <c r="E117" s="20" t="s">
        <v>11</v>
      </c>
      <c r="F117" s="21"/>
      <c r="G117" s="21"/>
      <c r="H117" s="24"/>
      <c r="I117" s="21"/>
      <c r="J117" s="49"/>
      <c r="K117" s="15"/>
      <c r="L117" s="21"/>
      <c r="M117" s="49"/>
      <c r="N117" s="15"/>
      <c r="O117" s="21"/>
      <c r="P117" s="49"/>
      <c r="Q117" s="2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 x14ac:dyDescent="0.2">
      <c r="A118" s="4"/>
      <c r="B118" s="23"/>
      <c r="C118" s="224"/>
      <c r="D118" s="224"/>
      <c r="E118" s="20" t="s">
        <v>12</v>
      </c>
      <c r="F118" s="21"/>
      <c r="G118" s="21"/>
      <c r="H118" s="24"/>
      <c r="I118" s="14"/>
      <c r="J118" s="16"/>
      <c r="K118" s="15"/>
      <c r="L118" s="14"/>
      <c r="M118" s="16"/>
      <c r="N118" s="15"/>
      <c r="O118" s="14"/>
      <c r="P118" s="16"/>
      <c r="Q118" s="2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 x14ac:dyDescent="0.2">
      <c r="A119" s="4"/>
      <c r="B119" s="23"/>
      <c r="C119" s="224"/>
      <c r="D119" s="224"/>
      <c r="E119" s="20" t="s">
        <v>13</v>
      </c>
      <c r="F119" s="21"/>
      <c r="G119" s="21"/>
      <c r="H119" s="24"/>
      <c r="I119" s="14"/>
      <c r="J119" s="16"/>
      <c r="K119" s="15"/>
      <c r="L119" s="14"/>
      <c r="M119" s="16"/>
      <c r="N119" s="15"/>
      <c r="O119" s="14"/>
      <c r="P119" s="16"/>
      <c r="Q119" s="2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 x14ac:dyDescent="0.2">
      <c r="A120" s="4"/>
      <c r="B120" s="23"/>
      <c r="C120" s="224"/>
      <c r="D120" s="224"/>
      <c r="E120" s="20" t="s">
        <v>14</v>
      </c>
      <c r="F120" s="21">
        <v>0.05</v>
      </c>
      <c r="G120" s="21">
        <v>0.05</v>
      </c>
      <c r="H120" s="24">
        <v>0.05</v>
      </c>
      <c r="I120" s="14">
        <v>0.05</v>
      </c>
      <c r="J120" s="16">
        <v>0.05</v>
      </c>
      <c r="K120" s="15">
        <v>0.05</v>
      </c>
      <c r="L120" s="14">
        <v>0.05</v>
      </c>
      <c r="M120" s="16">
        <v>0.05</v>
      </c>
      <c r="N120" s="15">
        <v>0.05</v>
      </c>
      <c r="O120" s="14">
        <v>0.05</v>
      </c>
      <c r="P120" s="16">
        <v>0.05</v>
      </c>
      <c r="Q120" s="25">
        <v>0.05</v>
      </c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 x14ac:dyDescent="0.2">
      <c r="A121" s="4"/>
      <c r="B121" s="23"/>
      <c r="C121" s="224"/>
      <c r="D121" s="224"/>
      <c r="E121" s="20" t="s">
        <v>15</v>
      </c>
      <c r="F121" s="21"/>
      <c r="G121" s="21"/>
      <c r="H121" s="24"/>
      <c r="I121" s="14"/>
      <c r="J121" s="16"/>
      <c r="K121" s="15"/>
      <c r="L121" s="14"/>
      <c r="M121" s="16"/>
      <c r="N121" s="15"/>
      <c r="O121" s="14"/>
      <c r="P121" s="16"/>
      <c r="Q121" s="2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 x14ac:dyDescent="0.2">
      <c r="A122" s="4"/>
      <c r="B122" s="23"/>
      <c r="C122" s="224"/>
      <c r="D122" s="224"/>
      <c r="E122" s="20" t="s">
        <v>16</v>
      </c>
      <c r="F122" s="21"/>
      <c r="G122" s="21"/>
      <c r="H122" s="24"/>
      <c r="I122" s="14"/>
      <c r="J122" s="16"/>
      <c r="K122" s="15"/>
      <c r="L122" s="14"/>
      <c r="M122" s="16"/>
      <c r="N122" s="15"/>
      <c r="O122" s="14"/>
      <c r="P122" s="16"/>
      <c r="Q122" s="2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 x14ac:dyDescent="0.2">
      <c r="A123" s="4"/>
      <c r="B123" s="27"/>
      <c r="C123" s="225"/>
      <c r="D123" s="225"/>
      <c r="E123" s="28" t="s">
        <v>17</v>
      </c>
      <c r="F123" s="29"/>
      <c r="G123" s="29"/>
      <c r="H123" s="29"/>
      <c r="I123" s="50"/>
      <c r="J123" s="50"/>
      <c r="K123" s="50"/>
      <c r="L123" s="50"/>
      <c r="M123" s="50"/>
      <c r="N123" s="50"/>
      <c r="O123" s="50"/>
      <c r="P123" s="50"/>
      <c r="Q123" s="51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 x14ac:dyDescent="0.2">
      <c r="A124" s="4"/>
      <c r="B124" s="42"/>
      <c r="C124" s="43"/>
      <c r="D124" s="43"/>
      <c r="E124" s="44" t="s">
        <v>18</v>
      </c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6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 x14ac:dyDescent="0.2">
      <c r="A125" s="4"/>
      <c r="B125" s="35" t="s">
        <v>56</v>
      </c>
      <c r="C125" s="223" t="s">
        <v>38</v>
      </c>
      <c r="D125" s="223"/>
      <c r="E125" s="36" t="s">
        <v>9</v>
      </c>
      <c r="F125" s="37"/>
      <c r="G125" s="37"/>
      <c r="H125" s="38"/>
      <c r="I125" s="37"/>
      <c r="J125" s="39"/>
      <c r="K125" s="40"/>
      <c r="L125" s="37"/>
      <c r="M125" s="39"/>
      <c r="N125" s="40"/>
      <c r="O125" s="37"/>
      <c r="P125" s="39"/>
      <c r="Q125" s="41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 x14ac:dyDescent="0.2">
      <c r="A126" s="4"/>
      <c r="B126" s="19" t="s">
        <v>57</v>
      </c>
      <c r="C126" s="224"/>
      <c r="D126" s="224"/>
      <c r="E126" s="20" t="s">
        <v>11</v>
      </c>
      <c r="F126" s="21"/>
      <c r="G126" s="21"/>
      <c r="H126" s="24"/>
      <c r="I126" s="21"/>
      <c r="J126" s="49"/>
      <c r="K126" s="15"/>
      <c r="L126" s="21"/>
      <c r="M126" s="49"/>
      <c r="N126" s="15"/>
      <c r="O126" s="21"/>
      <c r="P126" s="49"/>
      <c r="Q126" s="2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 x14ac:dyDescent="0.2">
      <c r="A127" s="4"/>
      <c r="B127" s="23"/>
      <c r="C127" s="224"/>
      <c r="D127" s="224"/>
      <c r="E127" s="20" t="s">
        <v>12</v>
      </c>
      <c r="F127" s="21"/>
      <c r="G127" s="21"/>
      <c r="H127" s="24"/>
      <c r="I127" s="14"/>
      <c r="J127" s="16"/>
      <c r="K127" s="15"/>
      <c r="L127" s="14"/>
      <c r="M127" s="16"/>
      <c r="N127" s="15"/>
      <c r="O127" s="14"/>
      <c r="P127" s="16"/>
      <c r="Q127" s="2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 x14ac:dyDescent="0.2">
      <c r="A128" s="4"/>
      <c r="B128" s="23"/>
      <c r="C128" s="224"/>
      <c r="D128" s="224"/>
      <c r="E128" s="20" t="s">
        <v>13</v>
      </c>
      <c r="F128" s="21"/>
      <c r="G128" s="21"/>
      <c r="H128" s="24"/>
      <c r="I128" s="14"/>
      <c r="J128" s="16"/>
      <c r="K128" s="15"/>
      <c r="L128" s="14"/>
      <c r="M128" s="16"/>
      <c r="N128" s="15"/>
      <c r="O128" s="14"/>
      <c r="P128" s="16"/>
      <c r="Q128" s="2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 x14ac:dyDescent="0.2">
      <c r="A129" s="4"/>
      <c r="B129" s="23"/>
      <c r="C129" s="224"/>
      <c r="D129" s="224"/>
      <c r="E129" s="20" t="s">
        <v>14</v>
      </c>
      <c r="F129" s="21"/>
      <c r="G129" s="21"/>
      <c r="H129" s="24"/>
      <c r="I129" s="14"/>
      <c r="J129" s="16"/>
      <c r="K129" s="15"/>
      <c r="L129" s="14"/>
      <c r="M129" s="16"/>
      <c r="N129" s="15"/>
      <c r="O129" s="14"/>
      <c r="P129" s="16"/>
      <c r="Q129" s="2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 x14ac:dyDescent="0.2">
      <c r="A130" s="4"/>
      <c r="B130" s="23"/>
      <c r="C130" s="224"/>
      <c r="D130" s="224"/>
      <c r="E130" s="20" t="s">
        <v>15</v>
      </c>
      <c r="F130" s="21"/>
      <c r="G130" s="21"/>
      <c r="H130" s="24"/>
      <c r="I130" s="14"/>
      <c r="J130" s="16"/>
      <c r="K130" s="15"/>
      <c r="L130" s="14"/>
      <c r="M130" s="16"/>
      <c r="N130" s="15"/>
      <c r="O130" s="14"/>
      <c r="P130" s="16"/>
      <c r="Q130" s="2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 x14ac:dyDescent="0.2">
      <c r="A131" s="4"/>
      <c r="B131" s="23"/>
      <c r="C131" s="224"/>
      <c r="D131" s="224"/>
      <c r="E131" s="20" t="s">
        <v>16</v>
      </c>
      <c r="F131" s="21">
        <v>0.15</v>
      </c>
      <c r="G131" s="21">
        <v>0.15</v>
      </c>
      <c r="H131" s="24">
        <v>0.15</v>
      </c>
      <c r="I131" s="14">
        <v>0.17</v>
      </c>
      <c r="J131" s="16">
        <v>0.17</v>
      </c>
      <c r="K131" s="15">
        <v>0.17</v>
      </c>
      <c r="L131" s="14">
        <v>0.21</v>
      </c>
      <c r="M131" s="16">
        <v>0.21</v>
      </c>
      <c r="N131" s="15">
        <v>0.21</v>
      </c>
      <c r="O131" s="14">
        <v>0.12</v>
      </c>
      <c r="P131" s="16">
        <v>0.12</v>
      </c>
      <c r="Q131" s="25">
        <v>0.12</v>
      </c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 x14ac:dyDescent="0.2">
      <c r="A132" s="4"/>
      <c r="B132" s="27"/>
      <c r="C132" s="225"/>
      <c r="D132" s="225"/>
      <c r="E132" s="28" t="s">
        <v>17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1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 x14ac:dyDescent="0.2">
      <c r="A133" s="4"/>
      <c r="B133" s="42"/>
      <c r="C133" s="43"/>
      <c r="D133" s="43"/>
      <c r="E133" s="44" t="s">
        <v>18</v>
      </c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6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 x14ac:dyDescent="0.2">
      <c r="A134" s="4"/>
      <c r="B134" s="35" t="s">
        <v>108</v>
      </c>
      <c r="C134" s="223" t="s">
        <v>38</v>
      </c>
      <c r="D134" s="223"/>
      <c r="E134" s="36" t="s">
        <v>9</v>
      </c>
      <c r="F134" s="37"/>
      <c r="G134" s="37"/>
      <c r="H134" s="38"/>
      <c r="I134" s="37"/>
      <c r="J134" s="39"/>
      <c r="K134" s="40"/>
      <c r="L134" s="37"/>
      <c r="M134" s="39"/>
      <c r="N134" s="40"/>
      <c r="O134" s="37"/>
      <c r="P134" s="39"/>
      <c r="Q134" s="41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 x14ac:dyDescent="0.2">
      <c r="A135" s="4"/>
      <c r="B135" s="19" t="s">
        <v>43</v>
      </c>
      <c r="C135" s="224"/>
      <c r="D135" s="224"/>
      <c r="E135" s="20" t="s">
        <v>11</v>
      </c>
      <c r="F135" s="21"/>
      <c r="G135" s="21"/>
      <c r="H135" s="24"/>
      <c r="I135" s="21"/>
      <c r="J135" s="49"/>
      <c r="K135" s="15"/>
      <c r="L135" s="21"/>
      <c r="M135" s="49"/>
      <c r="N135" s="15"/>
      <c r="O135" s="21"/>
      <c r="P135" s="49"/>
      <c r="Q135" s="2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 x14ac:dyDescent="0.2">
      <c r="A136" s="4"/>
      <c r="B136" s="23"/>
      <c r="C136" s="224"/>
      <c r="D136" s="224"/>
      <c r="E136" s="20" t="s">
        <v>12</v>
      </c>
      <c r="F136" s="21"/>
      <c r="G136" s="21"/>
      <c r="H136" s="24"/>
      <c r="I136" s="14"/>
      <c r="J136" s="16"/>
      <c r="K136" s="15"/>
      <c r="L136" s="14"/>
      <c r="M136" s="16"/>
      <c r="N136" s="15"/>
      <c r="O136" s="14"/>
      <c r="P136" s="16"/>
      <c r="Q136" s="2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 x14ac:dyDescent="0.2">
      <c r="A137" s="4"/>
      <c r="B137" s="23"/>
      <c r="C137" s="224"/>
      <c r="D137" s="224"/>
      <c r="E137" s="20" t="s">
        <v>13</v>
      </c>
      <c r="F137" s="21"/>
      <c r="G137" s="21"/>
      <c r="H137" s="24"/>
      <c r="I137" s="14"/>
      <c r="J137" s="16"/>
      <c r="K137" s="15"/>
      <c r="L137" s="14"/>
      <c r="M137" s="16"/>
      <c r="N137" s="15"/>
      <c r="O137" s="14"/>
      <c r="P137" s="16"/>
      <c r="Q137" s="2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 x14ac:dyDescent="0.2">
      <c r="A138" s="4"/>
      <c r="B138" s="23"/>
      <c r="C138" s="224"/>
      <c r="D138" s="224"/>
      <c r="E138" s="20" t="s">
        <v>14</v>
      </c>
      <c r="F138" s="21"/>
      <c r="G138" s="21"/>
      <c r="H138" s="24"/>
      <c r="I138" s="14"/>
      <c r="J138" s="16"/>
      <c r="K138" s="15"/>
      <c r="L138" s="14"/>
      <c r="M138" s="16"/>
      <c r="N138" s="15"/>
      <c r="O138" s="14"/>
      <c r="P138" s="16"/>
      <c r="Q138" s="2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 x14ac:dyDescent="0.2">
      <c r="A139" s="4"/>
      <c r="B139" s="23"/>
      <c r="C139" s="224"/>
      <c r="D139" s="224"/>
      <c r="E139" s="20" t="s">
        <v>15</v>
      </c>
      <c r="F139" s="21"/>
      <c r="G139" s="21"/>
      <c r="H139" s="24"/>
      <c r="I139" s="14"/>
      <c r="J139" s="16"/>
      <c r="K139" s="15"/>
      <c r="L139" s="14"/>
      <c r="M139" s="16"/>
      <c r="N139" s="15"/>
      <c r="O139" s="14"/>
      <c r="P139" s="16"/>
      <c r="Q139" s="2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 x14ac:dyDescent="0.2">
      <c r="A140" s="4"/>
      <c r="B140" s="23"/>
      <c r="C140" s="224"/>
      <c r="D140" s="224"/>
      <c r="E140" s="20" t="s">
        <v>16</v>
      </c>
      <c r="F140" s="21">
        <v>0.35</v>
      </c>
      <c r="G140" s="21">
        <v>0.35</v>
      </c>
      <c r="H140" s="24">
        <v>0.35</v>
      </c>
      <c r="I140" s="14">
        <v>0.32</v>
      </c>
      <c r="J140" s="16">
        <v>0.32</v>
      </c>
      <c r="K140" s="15">
        <v>0.32</v>
      </c>
      <c r="L140" s="14">
        <v>0.42</v>
      </c>
      <c r="M140" s="16">
        <v>0.42</v>
      </c>
      <c r="N140" s="15">
        <v>0.42</v>
      </c>
      <c r="O140" s="14"/>
      <c r="P140" s="16"/>
      <c r="Q140" s="2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 x14ac:dyDescent="0.2">
      <c r="A141" s="4"/>
      <c r="B141" s="27"/>
      <c r="C141" s="225"/>
      <c r="D141" s="225"/>
      <c r="E141" s="28" t="s">
        <v>17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30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 x14ac:dyDescent="0.2">
      <c r="A142" s="4"/>
      <c r="B142" s="42"/>
      <c r="C142" s="43"/>
      <c r="D142" s="43"/>
      <c r="E142" s="44" t="s">
        <v>18</v>
      </c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6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 x14ac:dyDescent="0.2">
      <c r="A143" s="4"/>
      <c r="B143" s="35" t="s">
        <v>58</v>
      </c>
      <c r="C143" s="223" t="s">
        <v>38</v>
      </c>
      <c r="D143" s="223"/>
      <c r="E143" s="36" t="s">
        <v>9</v>
      </c>
      <c r="F143" s="37"/>
      <c r="G143" s="37"/>
      <c r="H143" s="38"/>
      <c r="I143" s="37"/>
      <c r="J143" s="39"/>
      <c r="K143" s="40"/>
      <c r="L143" s="37"/>
      <c r="M143" s="39"/>
      <c r="N143" s="40"/>
      <c r="O143" s="37"/>
      <c r="P143" s="39"/>
      <c r="Q143" s="41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 x14ac:dyDescent="0.2">
      <c r="A144" s="4"/>
      <c r="B144" s="19" t="s">
        <v>109</v>
      </c>
      <c r="C144" s="224"/>
      <c r="D144" s="224"/>
      <c r="E144" s="20" t="s">
        <v>11</v>
      </c>
      <c r="F144" s="21"/>
      <c r="G144" s="21"/>
      <c r="H144" s="24"/>
      <c r="I144" s="21"/>
      <c r="J144" s="49"/>
      <c r="K144" s="15"/>
      <c r="L144" s="21"/>
      <c r="M144" s="49"/>
      <c r="N144" s="15"/>
      <c r="O144" s="21"/>
      <c r="P144" s="49"/>
      <c r="Q144" s="2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 x14ac:dyDescent="0.2">
      <c r="A145" s="4"/>
      <c r="B145" s="23"/>
      <c r="C145" s="224"/>
      <c r="D145" s="224"/>
      <c r="E145" s="20" t="s">
        <v>12</v>
      </c>
      <c r="F145" s="21"/>
      <c r="G145" s="21"/>
      <c r="H145" s="24"/>
      <c r="I145" s="14"/>
      <c r="J145" s="16"/>
      <c r="K145" s="15"/>
      <c r="L145" s="14"/>
      <c r="M145" s="16"/>
      <c r="N145" s="15"/>
      <c r="O145" s="14"/>
      <c r="P145" s="16"/>
      <c r="Q145" s="2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 x14ac:dyDescent="0.2">
      <c r="A146" s="4"/>
      <c r="B146" s="23"/>
      <c r="C146" s="224"/>
      <c r="D146" s="224"/>
      <c r="E146" s="20" t="s">
        <v>13</v>
      </c>
      <c r="F146" s="21"/>
      <c r="G146" s="21"/>
      <c r="H146" s="24"/>
      <c r="I146" s="14"/>
      <c r="J146" s="16"/>
      <c r="K146" s="15"/>
      <c r="L146" s="14"/>
      <c r="M146" s="16"/>
      <c r="N146" s="15"/>
      <c r="O146" s="14"/>
      <c r="P146" s="16"/>
      <c r="Q146" s="2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 x14ac:dyDescent="0.2">
      <c r="A147" s="4"/>
      <c r="B147" s="23"/>
      <c r="C147" s="224"/>
      <c r="D147" s="224"/>
      <c r="E147" s="20" t="s">
        <v>14</v>
      </c>
      <c r="F147" s="21"/>
      <c r="G147" s="21"/>
      <c r="H147" s="24"/>
      <c r="I147" s="14"/>
      <c r="J147" s="16"/>
      <c r="K147" s="15"/>
      <c r="L147" s="14"/>
      <c r="M147" s="16"/>
      <c r="N147" s="15"/>
      <c r="O147" s="14"/>
      <c r="P147" s="16"/>
      <c r="Q147" s="2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 x14ac:dyDescent="0.2">
      <c r="A148" s="4"/>
      <c r="B148" s="23"/>
      <c r="C148" s="224"/>
      <c r="D148" s="224"/>
      <c r="E148" s="20" t="s">
        <v>15</v>
      </c>
      <c r="F148" s="21"/>
      <c r="G148" s="21"/>
      <c r="H148" s="24"/>
      <c r="I148" s="14"/>
      <c r="J148" s="16"/>
      <c r="K148" s="15"/>
      <c r="L148" s="14"/>
      <c r="M148" s="16"/>
      <c r="N148" s="15"/>
      <c r="O148" s="14"/>
      <c r="P148" s="16"/>
      <c r="Q148" s="2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 x14ac:dyDescent="0.2">
      <c r="A149" s="4"/>
      <c r="B149" s="23"/>
      <c r="C149" s="224"/>
      <c r="D149" s="224"/>
      <c r="E149" s="20" t="s">
        <v>16</v>
      </c>
      <c r="F149" s="21">
        <v>0.12</v>
      </c>
      <c r="G149" s="21">
        <v>0.12</v>
      </c>
      <c r="H149" s="24">
        <v>0.12</v>
      </c>
      <c r="I149" s="14">
        <v>0.36</v>
      </c>
      <c r="J149" s="16">
        <v>0.36</v>
      </c>
      <c r="K149" s="15">
        <v>0.36</v>
      </c>
      <c r="L149" s="14">
        <v>0.12</v>
      </c>
      <c r="M149" s="16">
        <v>0.12</v>
      </c>
      <c r="N149" s="15">
        <v>0.12</v>
      </c>
      <c r="O149" s="14">
        <v>0.06</v>
      </c>
      <c r="P149" s="16">
        <v>0.06</v>
      </c>
      <c r="Q149" s="25">
        <v>0.06</v>
      </c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 x14ac:dyDescent="0.2">
      <c r="A150" s="4"/>
      <c r="B150" s="27"/>
      <c r="C150" s="225"/>
      <c r="D150" s="225"/>
      <c r="E150" s="28" t="s">
        <v>17</v>
      </c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30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 x14ac:dyDescent="0.2">
      <c r="A151" s="4"/>
      <c r="B151" s="42"/>
      <c r="C151" s="43"/>
      <c r="D151" s="43"/>
      <c r="E151" s="44" t="s">
        <v>18</v>
      </c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8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 x14ac:dyDescent="0.2">
      <c r="A152" s="4"/>
      <c r="B152" s="35" t="s">
        <v>64</v>
      </c>
      <c r="C152" s="223" t="s">
        <v>38</v>
      </c>
      <c r="D152" s="223"/>
      <c r="E152" s="36" t="s">
        <v>9</v>
      </c>
      <c r="F152" s="37"/>
      <c r="G152" s="37"/>
      <c r="H152" s="38"/>
      <c r="I152" s="37"/>
      <c r="J152" s="39"/>
      <c r="K152" s="40"/>
      <c r="L152" s="37"/>
      <c r="M152" s="39"/>
      <c r="N152" s="40"/>
      <c r="O152" s="37"/>
      <c r="P152" s="39"/>
      <c r="Q152" s="41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 x14ac:dyDescent="0.2">
      <c r="A153" s="4"/>
      <c r="B153" s="19" t="s">
        <v>62</v>
      </c>
      <c r="C153" s="224"/>
      <c r="D153" s="224"/>
      <c r="E153" s="20" t="s">
        <v>11</v>
      </c>
      <c r="F153" s="21"/>
      <c r="G153" s="21"/>
      <c r="H153" s="24"/>
      <c r="I153" s="21"/>
      <c r="J153" s="49"/>
      <c r="K153" s="15"/>
      <c r="L153" s="21"/>
      <c r="M153" s="49"/>
      <c r="N153" s="15"/>
      <c r="O153" s="21"/>
      <c r="P153" s="49"/>
      <c r="Q153" s="2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 x14ac:dyDescent="0.2">
      <c r="A154" s="4"/>
      <c r="B154" s="23"/>
      <c r="C154" s="224"/>
      <c r="D154" s="224"/>
      <c r="E154" s="20" t="s">
        <v>12</v>
      </c>
      <c r="F154" s="21"/>
      <c r="G154" s="21"/>
      <c r="H154" s="24"/>
      <c r="I154" s="14"/>
      <c r="J154" s="16"/>
      <c r="K154" s="15"/>
      <c r="L154" s="14"/>
      <c r="M154" s="16"/>
      <c r="N154" s="15"/>
      <c r="O154" s="14"/>
      <c r="P154" s="16"/>
      <c r="Q154" s="2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 x14ac:dyDescent="0.2">
      <c r="A155" s="4"/>
      <c r="B155" s="23"/>
      <c r="C155" s="224"/>
      <c r="D155" s="224"/>
      <c r="E155" s="20" t="s">
        <v>13</v>
      </c>
      <c r="F155" s="21"/>
      <c r="G155" s="21"/>
      <c r="H155" s="24"/>
      <c r="I155" s="14"/>
      <c r="J155" s="16"/>
      <c r="K155" s="15"/>
      <c r="L155" s="14"/>
      <c r="M155" s="16"/>
      <c r="N155" s="15"/>
      <c r="O155" s="14"/>
      <c r="P155" s="16"/>
      <c r="Q155" s="2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 x14ac:dyDescent="0.2">
      <c r="A156" s="4"/>
      <c r="B156" s="23"/>
      <c r="C156" s="224"/>
      <c r="D156" s="224"/>
      <c r="E156" s="20" t="s">
        <v>14</v>
      </c>
      <c r="F156" s="21"/>
      <c r="G156" s="21"/>
      <c r="H156" s="24"/>
      <c r="I156" s="14"/>
      <c r="J156" s="16"/>
      <c r="K156" s="15"/>
      <c r="L156" s="14"/>
      <c r="M156" s="16"/>
      <c r="N156" s="15"/>
      <c r="O156" s="14"/>
      <c r="P156" s="16"/>
      <c r="Q156" s="2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 x14ac:dyDescent="0.2">
      <c r="A157" s="4"/>
      <c r="B157" s="23"/>
      <c r="C157" s="224"/>
      <c r="D157" s="224"/>
      <c r="E157" s="20" t="s">
        <v>15</v>
      </c>
      <c r="F157" s="21"/>
      <c r="G157" s="21"/>
      <c r="H157" s="24"/>
      <c r="I157" s="14"/>
      <c r="J157" s="16"/>
      <c r="K157" s="15"/>
      <c r="L157" s="14"/>
      <c r="M157" s="16"/>
      <c r="N157" s="15"/>
      <c r="O157" s="14"/>
      <c r="P157" s="16"/>
      <c r="Q157" s="2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 x14ac:dyDescent="0.2">
      <c r="A158" s="4"/>
      <c r="B158" s="23"/>
      <c r="C158" s="224"/>
      <c r="D158" s="224"/>
      <c r="E158" s="20" t="s">
        <v>16</v>
      </c>
      <c r="F158" s="21"/>
      <c r="G158" s="21"/>
      <c r="H158" s="24"/>
      <c r="I158" s="14"/>
      <c r="J158" s="16"/>
      <c r="K158" s="15"/>
      <c r="L158" s="14"/>
      <c r="M158" s="16"/>
      <c r="N158" s="15"/>
      <c r="O158" s="14">
        <v>0.09</v>
      </c>
      <c r="P158" s="16">
        <v>0.09</v>
      </c>
      <c r="Q158" s="25">
        <v>0.09</v>
      </c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 x14ac:dyDescent="0.2">
      <c r="A159" s="4"/>
      <c r="B159" s="27"/>
      <c r="C159" s="225"/>
      <c r="D159" s="225"/>
      <c r="E159" s="28" t="s">
        <v>17</v>
      </c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30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 x14ac:dyDescent="0.2">
      <c r="A160" s="4"/>
      <c r="B160" s="42"/>
      <c r="C160" s="43"/>
      <c r="D160" s="43"/>
      <c r="E160" s="44" t="s">
        <v>18</v>
      </c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8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 x14ac:dyDescent="0.2">
      <c r="A161" s="4"/>
      <c r="B161" s="35" t="s">
        <v>63</v>
      </c>
      <c r="C161" s="223" t="s">
        <v>38</v>
      </c>
      <c r="D161" s="223"/>
      <c r="E161" s="36" t="s">
        <v>9</v>
      </c>
      <c r="F161" s="37"/>
      <c r="G161" s="37"/>
      <c r="H161" s="38"/>
      <c r="I161" s="37"/>
      <c r="J161" s="39"/>
      <c r="K161" s="40"/>
      <c r="L161" s="37"/>
      <c r="M161" s="39"/>
      <c r="N161" s="40"/>
      <c r="O161" s="37"/>
      <c r="P161" s="39"/>
      <c r="Q161" s="41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 x14ac:dyDescent="0.2">
      <c r="A162" s="4"/>
      <c r="B162" s="19" t="s">
        <v>60</v>
      </c>
      <c r="C162" s="224"/>
      <c r="D162" s="224"/>
      <c r="E162" s="20" t="s">
        <v>11</v>
      </c>
      <c r="F162" s="21"/>
      <c r="G162" s="21"/>
      <c r="H162" s="24"/>
      <c r="I162" s="21"/>
      <c r="J162" s="49"/>
      <c r="K162" s="15"/>
      <c r="L162" s="21"/>
      <c r="M162" s="49"/>
      <c r="N162" s="15"/>
      <c r="O162" s="21"/>
      <c r="P162" s="49"/>
      <c r="Q162" s="2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 x14ac:dyDescent="0.2">
      <c r="A163" s="4"/>
      <c r="B163" s="23"/>
      <c r="C163" s="224"/>
      <c r="D163" s="224"/>
      <c r="E163" s="20" t="s">
        <v>12</v>
      </c>
      <c r="F163" s="21"/>
      <c r="G163" s="21"/>
      <c r="H163" s="24"/>
      <c r="I163" s="14"/>
      <c r="J163" s="16"/>
      <c r="K163" s="15"/>
      <c r="L163" s="14"/>
      <c r="M163" s="16"/>
      <c r="N163" s="15"/>
      <c r="O163" s="14"/>
      <c r="P163" s="16"/>
      <c r="Q163" s="2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 x14ac:dyDescent="0.2">
      <c r="A164" s="4"/>
      <c r="B164" s="23"/>
      <c r="C164" s="224"/>
      <c r="D164" s="224"/>
      <c r="E164" s="20" t="s">
        <v>13</v>
      </c>
      <c r="F164" s="21"/>
      <c r="G164" s="21"/>
      <c r="H164" s="24"/>
      <c r="I164" s="14"/>
      <c r="J164" s="16"/>
      <c r="K164" s="15"/>
      <c r="L164" s="14"/>
      <c r="M164" s="16"/>
      <c r="N164" s="15"/>
      <c r="O164" s="14"/>
      <c r="P164" s="16"/>
      <c r="Q164" s="2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 x14ac:dyDescent="0.2">
      <c r="A165" s="4"/>
      <c r="B165" s="23"/>
      <c r="C165" s="224"/>
      <c r="D165" s="224"/>
      <c r="E165" s="20" t="s">
        <v>14</v>
      </c>
      <c r="F165" s="21"/>
      <c r="G165" s="21"/>
      <c r="H165" s="24"/>
      <c r="I165" s="14"/>
      <c r="J165" s="16"/>
      <c r="K165" s="15"/>
      <c r="L165" s="14"/>
      <c r="M165" s="16"/>
      <c r="N165" s="15"/>
      <c r="O165" s="14"/>
      <c r="P165" s="16"/>
      <c r="Q165" s="2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 x14ac:dyDescent="0.2">
      <c r="A166" s="4"/>
      <c r="B166" s="23"/>
      <c r="C166" s="224"/>
      <c r="D166" s="224"/>
      <c r="E166" s="20" t="s">
        <v>15</v>
      </c>
      <c r="F166" s="21"/>
      <c r="G166" s="21"/>
      <c r="H166" s="24"/>
      <c r="I166" s="14"/>
      <c r="J166" s="16"/>
      <c r="K166" s="15"/>
      <c r="L166" s="14"/>
      <c r="M166" s="16"/>
      <c r="N166" s="15"/>
      <c r="O166" s="14"/>
      <c r="P166" s="16"/>
      <c r="Q166" s="2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 x14ac:dyDescent="0.2">
      <c r="A167" s="4"/>
      <c r="B167" s="23"/>
      <c r="C167" s="224"/>
      <c r="D167" s="224"/>
      <c r="E167" s="20" t="s">
        <v>16</v>
      </c>
      <c r="F167" s="21"/>
      <c r="G167" s="21"/>
      <c r="H167" s="24"/>
      <c r="I167" s="14"/>
      <c r="J167" s="16"/>
      <c r="K167" s="15"/>
      <c r="L167" s="14">
        <v>0.15</v>
      </c>
      <c r="M167" s="16">
        <v>0.15</v>
      </c>
      <c r="N167" s="15">
        <v>0.15</v>
      </c>
      <c r="O167" s="14">
        <v>0.32</v>
      </c>
      <c r="P167" s="16">
        <v>0.32</v>
      </c>
      <c r="Q167" s="25">
        <v>0.32</v>
      </c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 x14ac:dyDescent="0.2">
      <c r="A168" s="4"/>
      <c r="B168" s="27"/>
      <c r="C168" s="225"/>
      <c r="D168" s="225"/>
      <c r="E168" s="28" t="s">
        <v>17</v>
      </c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30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 x14ac:dyDescent="0.2">
      <c r="A169" s="4"/>
      <c r="B169" s="42"/>
      <c r="C169" s="43"/>
      <c r="D169" s="43"/>
      <c r="E169" s="44" t="s">
        <v>18</v>
      </c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8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 x14ac:dyDescent="0.2">
      <c r="A170" s="4"/>
      <c r="B170" s="35" t="s">
        <v>110</v>
      </c>
      <c r="C170" s="223" t="s">
        <v>38</v>
      </c>
      <c r="D170" s="223"/>
      <c r="E170" s="36" t="s">
        <v>9</v>
      </c>
      <c r="F170" s="37"/>
      <c r="G170" s="37"/>
      <c r="H170" s="38"/>
      <c r="I170" s="37"/>
      <c r="J170" s="39"/>
      <c r="K170" s="40"/>
      <c r="L170" s="37"/>
      <c r="M170" s="39"/>
      <c r="N170" s="40"/>
      <c r="O170" s="37"/>
      <c r="P170" s="39"/>
      <c r="Q170" s="41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 x14ac:dyDescent="0.2">
      <c r="A171" s="4"/>
      <c r="B171" s="19" t="s">
        <v>60</v>
      </c>
      <c r="C171" s="224"/>
      <c r="D171" s="224"/>
      <c r="E171" s="20" t="s">
        <v>11</v>
      </c>
      <c r="F171" s="21"/>
      <c r="G171" s="21"/>
      <c r="H171" s="24"/>
      <c r="I171" s="21"/>
      <c r="J171" s="49"/>
      <c r="K171" s="15"/>
      <c r="L171" s="21"/>
      <c r="M171" s="49"/>
      <c r="N171" s="15"/>
      <c r="O171" s="21"/>
      <c r="P171" s="49"/>
      <c r="Q171" s="2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 x14ac:dyDescent="0.2">
      <c r="A172" s="4"/>
      <c r="B172" s="23"/>
      <c r="C172" s="224"/>
      <c r="D172" s="224"/>
      <c r="E172" s="20" t="s">
        <v>12</v>
      </c>
      <c r="F172" s="21"/>
      <c r="G172" s="21"/>
      <c r="H172" s="24"/>
      <c r="I172" s="14"/>
      <c r="J172" s="16"/>
      <c r="K172" s="15"/>
      <c r="L172" s="14"/>
      <c r="M172" s="16"/>
      <c r="N172" s="15"/>
      <c r="O172" s="14"/>
      <c r="P172" s="16"/>
      <c r="Q172" s="2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 x14ac:dyDescent="0.2">
      <c r="A173" s="4"/>
      <c r="B173" s="23"/>
      <c r="C173" s="224"/>
      <c r="D173" s="224"/>
      <c r="E173" s="20" t="s">
        <v>13</v>
      </c>
      <c r="F173" s="21"/>
      <c r="G173" s="21"/>
      <c r="H173" s="24"/>
      <c r="I173" s="14"/>
      <c r="J173" s="16"/>
      <c r="K173" s="15"/>
      <c r="L173" s="14"/>
      <c r="M173" s="16"/>
      <c r="N173" s="15"/>
      <c r="O173" s="14"/>
      <c r="P173" s="16"/>
      <c r="Q173" s="2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 x14ac:dyDescent="0.2">
      <c r="A174" s="4"/>
      <c r="B174" s="23"/>
      <c r="C174" s="224"/>
      <c r="D174" s="224"/>
      <c r="E174" s="20" t="s">
        <v>14</v>
      </c>
      <c r="F174" s="21"/>
      <c r="G174" s="21"/>
      <c r="H174" s="24"/>
      <c r="I174" s="14"/>
      <c r="J174" s="16"/>
      <c r="K174" s="15"/>
      <c r="L174" s="14"/>
      <c r="M174" s="16"/>
      <c r="N174" s="15"/>
      <c r="O174" s="14"/>
      <c r="P174" s="16"/>
      <c r="Q174" s="2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 x14ac:dyDescent="0.2">
      <c r="A175" s="4"/>
      <c r="B175" s="23"/>
      <c r="C175" s="224"/>
      <c r="D175" s="224"/>
      <c r="E175" s="20" t="s">
        <v>15</v>
      </c>
      <c r="F175" s="21"/>
      <c r="G175" s="21"/>
      <c r="H175" s="24"/>
      <c r="I175" s="14"/>
      <c r="J175" s="16"/>
      <c r="K175" s="15"/>
      <c r="L175" s="14"/>
      <c r="M175" s="16"/>
      <c r="N175" s="15"/>
      <c r="O175" s="14"/>
      <c r="P175" s="16"/>
      <c r="Q175" s="2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 x14ac:dyDescent="0.2">
      <c r="A176" s="4"/>
      <c r="B176" s="23"/>
      <c r="C176" s="224"/>
      <c r="D176" s="224"/>
      <c r="E176" s="20" t="s">
        <v>16</v>
      </c>
      <c r="F176" s="21">
        <v>0.1</v>
      </c>
      <c r="G176" s="21">
        <v>0.1</v>
      </c>
      <c r="H176" s="24">
        <v>0.1</v>
      </c>
      <c r="I176" s="14"/>
      <c r="J176" s="16"/>
      <c r="K176" s="15"/>
      <c r="L176" s="14"/>
      <c r="M176" s="16"/>
      <c r="N176" s="15"/>
      <c r="O176" s="14"/>
      <c r="P176" s="16"/>
      <c r="Q176" s="2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 x14ac:dyDescent="0.2">
      <c r="A177" s="4"/>
      <c r="B177" s="27"/>
      <c r="C177" s="225"/>
      <c r="D177" s="225"/>
      <c r="E177" s="28" t="s">
        <v>17</v>
      </c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30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 x14ac:dyDescent="0.2">
      <c r="A178" s="4"/>
      <c r="B178" s="42"/>
      <c r="C178" s="43"/>
      <c r="D178" s="43"/>
      <c r="E178" s="44" t="s">
        <v>18</v>
      </c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8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 x14ac:dyDescent="0.2">
      <c r="A179" s="5"/>
      <c r="B179" s="35" t="s">
        <v>59</v>
      </c>
      <c r="C179" s="223" t="s">
        <v>38</v>
      </c>
      <c r="D179" s="223"/>
      <c r="E179" s="36" t="s">
        <v>9</v>
      </c>
      <c r="F179" s="37"/>
      <c r="G179" s="37"/>
      <c r="H179" s="38"/>
      <c r="I179" s="37"/>
      <c r="J179" s="39"/>
      <c r="K179" s="40"/>
      <c r="L179" s="37"/>
      <c r="M179" s="39"/>
      <c r="N179" s="40"/>
      <c r="O179" s="37"/>
      <c r="P179" s="39"/>
      <c r="Q179" s="41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 x14ac:dyDescent="0.2">
      <c r="A180" s="5"/>
      <c r="B180" s="19" t="s">
        <v>60</v>
      </c>
      <c r="C180" s="224"/>
      <c r="D180" s="224"/>
      <c r="E180" s="20" t="s">
        <v>11</v>
      </c>
      <c r="F180" s="21"/>
      <c r="G180" s="21"/>
      <c r="H180" s="24"/>
      <c r="I180" s="21"/>
      <c r="J180" s="49"/>
      <c r="K180" s="15"/>
      <c r="L180" s="21"/>
      <c r="M180" s="49"/>
      <c r="N180" s="15"/>
      <c r="O180" s="21"/>
      <c r="P180" s="49"/>
      <c r="Q180" s="2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 x14ac:dyDescent="0.2">
      <c r="A181" s="5"/>
      <c r="B181" s="23"/>
      <c r="C181" s="224"/>
      <c r="D181" s="224"/>
      <c r="E181" s="20" t="s">
        <v>12</v>
      </c>
      <c r="F181" s="21"/>
      <c r="G181" s="21"/>
      <c r="H181" s="24"/>
      <c r="I181" s="14"/>
      <c r="J181" s="16"/>
      <c r="K181" s="15"/>
      <c r="L181" s="14"/>
      <c r="M181" s="16"/>
      <c r="N181" s="15"/>
      <c r="O181" s="14"/>
      <c r="P181" s="16"/>
      <c r="Q181" s="2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 x14ac:dyDescent="0.2">
      <c r="A182" s="5"/>
      <c r="B182" s="23"/>
      <c r="C182" s="224"/>
      <c r="D182" s="224"/>
      <c r="E182" s="20" t="s">
        <v>13</v>
      </c>
      <c r="F182" s="21"/>
      <c r="G182" s="21"/>
      <c r="H182" s="24"/>
      <c r="I182" s="14"/>
      <c r="J182" s="16"/>
      <c r="K182" s="15"/>
      <c r="L182" s="14"/>
      <c r="M182" s="16"/>
      <c r="N182" s="15"/>
      <c r="O182" s="14"/>
      <c r="P182" s="16"/>
      <c r="Q182" s="2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 x14ac:dyDescent="0.2">
      <c r="A183" s="5"/>
      <c r="B183" s="23"/>
      <c r="C183" s="224"/>
      <c r="D183" s="224"/>
      <c r="E183" s="20" t="s">
        <v>14</v>
      </c>
      <c r="F183" s="21"/>
      <c r="G183" s="21"/>
      <c r="H183" s="24"/>
      <c r="I183" s="14"/>
      <c r="J183" s="16"/>
      <c r="K183" s="15"/>
      <c r="L183" s="14"/>
      <c r="M183" s="16"/>
      <c r="N183" s="15"/>
      <c r="O183" s="14"/>
      <c r="P183" s="16"/>
      <c r="Q183" s="2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 x14ac:dyDescent="0.2">
      <c r="A184" s="5"/>
      <c r="B184" s="23"/>
      <c r="C184" s="224"/>
      <c r="D184" s="224"/>
      <c r="E184" s="20" t="s">
        <v>15</v>
      </c>
      <c r="F184" s="21"/>
      <c r="G184" s="21"/>
      <c r="H184" s="24"/>
      <c r="I184" s="14"/>
      <c r="J184" s="16"/>
      <c r="K184" s="15"/>
      <c r="L184" s="14"/>
      <c r="M184" s="16"/>
      <c r="N184" s="15"/>
      <c r="O184" s="14"/>
      <c r="P184" s="16"/>
      <c r="Q184" s="2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 x14ac:dyDescent="0.2">
      <c r="A185" s="5"/>
      <c r="B185" s="23"/>
      <c r="C185" s="224"/>
      <c r="D185" s="224"/>
      <c r="E185" s="20" t="s">
        <v>16</v>
      </c>
      <c r="F185" s="21"/>
      <c r="G185" s="21"/>
      <c r="H185" s="24"/>
      <c r="I185" s="14">
        <v>0.19</v>
      </c>
      <c r="J185" s="16">
        <v>0.19</v>
      </c>
      <c r="K185" s="15">
        <v>0.19</v>
      </c>
      <c r="L185" s="14">
        <v>0.3</v>
      </c>
      <c r="M185" s="16">
        <v>0.3</v>
      </c>
      <c r="N185" s="15">
        <v>0.3</v>
      </c>
      <c r="O185" s="14">
        <v>0.27</v>
      </c>
      <c r="P185" s="16">
        <v>0.27</v>
      </c>
      <c r="Q185" s="25">
        <v>0.27</v>
      </c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 x14ac:dyDescent="0.2">
      <c r="A186" s="5"/>
      <c r="B186" s="27"/>
      <c r="C186" s="225"/>
      <c r="D186" s="225"/>
      <c r="E186" s="28" t="s">
        <v>17</v>
      </c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30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 x14ac:dyDescent="0.2">
      <c r="A187" s="5"/>
      <c r="B187" s="42"/>
      <c r="C187" s="43"/>
      <c r="D187" s="43"/>
      <c r="E187" s="44" t="s">
        <v>18</v>
      </c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8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 x14ac:dyDescent="0.2">
      <c r="A188" s="5"/>
      <c r="B188" s="35" t="s">
        <v>41</v>
      </c>
      <c r="C188" s="223" t="s">
        <v>38</v>
      </c>
      <c r="D188" s="223"/>
      <c r="E188" s="36" t="s">
        <v>9</v>
      </c>
      <c r="F188" s="37"/>
      <c r="G188" s="37"/>
      <c r="H188" s="38"/>
      <c r="I188" s="37"/>
      <c r="J188" s="39"/>
      <c r="K188" s="40"/>
      <c r="L188" s="37"/>
      <c r="M188" s="39"/>
      <c r="N188" s="40"/>
      <c r="O188" s="37"/>
      <c r="P188" s="39"/>
      <c r="Q188" s="41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 x14ac:dyDescent="0.2">
      <c r="A189" s="5"/>
      <c r="B189" s="19" t="s">
        <v>43</v>
      </c>
      <c r="C189" s="224"/>
      <c r="D189" s="224"/>
      <c r="E189" s="20" t="s">
        <v>11</v>
      </c>
      <c r="F189" s="21"/>
      <c r="G189" s="21"/>
      <c r="H189" s="24"/>
      <c r="I189" s="21"/>
      <c r="J189" s="49"/>
      <c r="K189" s="15"/>
      <c r="L189" s="21"/>
      <c r="M189" s="49"/>
      <c r="N189" s="15"/>
      <c r="O189" s="21"/>
      <c r="P189" s="49"/>
      <c r="Q189" s="2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 x14ac:dyDescent="0.2">
      <c r="A190" s="5"/>
      <c r="B190" s="23"/>
      <c r="C190" s="224"/>
      <c r="D190" s="224"/>
      <c r="E190" s="20" t="s">
        <v>12</v>
      </c>
      <c r="F190" s="21"/>
      <c r="G190" s="21"/>
      <c r="H190" s="24"/>
      <c r="I190" s="14"/>
      <c r="J190" s="16"/>
      <c r="K190" s="15"/>
      <c r="L190" s="14"/>
      <c r="M190" s="16"/>
      <c r="N190" s="15"/>
      <c r="O190" s="14"/>
      <c r="P190" s="16"/>
      <c r="Q190" s="2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 x14ac:dyDescent="0.2">
      <c r="A191" s="5"/>
      <c r="B191" s="23"/>
      <c r="C191" s="224"/>
      <c r="D191" s="224"/>
      <c r="E191" s="20" t="s">
        <v>13</v>
      </c>
      <c r="F191" s="21"/>
      <c r="G191" s="21"/>
      <c r="H191" s="24"/>
      <c r="I191" s="14"/>
      <c r="J191" s="16"/>
      <c r="K191" s="15"/>
      <c r="L191" s="14"/>
      <c r="M191" s="16"/>
      <c r="N191" s="15"/>
      <c r="O191" s="14"/>
      <c r="P191" s="16"/>
      <c r="Q191" s="2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 x14ac:dyDescent="0.2">
      <c r="A192" s="5"/>
      <c r="B192" s="23"/>
      <c r="C192" s="224"/>
      <c r="D192" s="224"/>
      <c r="E192" s="20" t="s">
        <v>14</v>
      </c>
      <c r="F192" s="21"/>
      <c r="G192" s="21"/>
      <c r="H192" s="24"/>
      <c r="I192" s="14"/>
      <c r="J192" s="16"/>
      <c r="K192" s="15"/>
      <c r="L192" s="14"/>
      <c r="M192" s="16"/>
      <c r="N192" s="15"/>
      <c r="O192" s="14"/>
      <c r="P192" s="16"/>
      <c r="Q192" s="2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 x14ac:dyDescent="0.2">
      <c r="A193" s="5"/>
      <c r="B193" s="23"/>
      <c r="C193" s="224"/>
      <c r="D193" s="224"/>
      <c r="E193" s="20" t="s">
        <v>15</v>
      </c>
      <c r="F193" s="21"/>
      <c r="G193" s="21"/>
      <c r="H193" s="24"/>
      <c r="I193" s="14"/>
      <c r="J193" s="16"/>
      <c r="K193" s="15"/>
      <c r="L193" s="14"/>
      <c r="M193" s="16"/>
      <c r="N193" s="15"/>
      <c r="O193" s="14"/>
      <c r="P193" s="16"/>
      <c r="Q193" s="2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 x14ac:dyDescent="0.2">
      <c r="A194" s="5"/>
      <c r="B194" s="23"/>
      <c r="C194" s="224"/>
      <c r="D194" s="224"/>
      <c r="E194" s="20" t="s">
        <v>16</v>
      </c>
      <c r="F194" s="21"/>
      <c r="G194" s="21"/>
      <c r="H194" s="24"/>
      <c r="I194" s="14"/>
      <c r="J194" s="16"/>
      <c r="K194" s="15"/>
      <c r="L194" s="14">
        <v>0.15</v>
      </c>
      <c r="M194" s="16">
        <v>0.15</v>
      </c>
      <c r="N194" s="15">
        <v>0.15</v>
      </c>
      <c r="O194" s="14">
        <v>0.15</v>
      </c>
      <c r="P194" s="16">
        <v>0.15</v>
      </c>
      <c r="Q194" s="25">
        <v>0.15</v>
      </c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 x14ac:dyDescent="0.2">
      <c r="A195" s="5"/>
      <c r="B195" s="27"/>
      <c r="C195" s="225"/>
      <c r="D195" s="225"/>
      <c r="E195" s="28" t="s">
        <v>17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30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 x14ac:dyDescent="0.2">
      <c r="A196" s="5"/>
      <c r="B196" s="42"/>
      <c r="C196" s="43"/>
      <c r="D196" s="43"/>
      <c r="E196" s="44" t="s">
        <v>18</v>
      </c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8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 x14ac:dyDescent="0.2">
      <c r="A197" s="5"/>
      <c r="B197" s="35" t="s">
        <v>61</v>
      </c>
      <c r="C197" s="223" t="s">
        <v>38</v>
      </c>
      <c r="D197" s="223"/>
      <c r="E197" s="36" t="s">
        <v>9</v>
      </c>
      <c r="F197" s="37"/>
      <c r="G197" s="37"/>
      <c r="H197" s="38"/>
      <c r="I197" s="37"/>
      <c r="J197" s="39"/>
      <c r="K197" s="40"/>
      <c r="L197" s="37"/>
      <c r="M197" s="39"/>
      <c r="N197" s="40"/>
      <c r="O197" s="37"/>
      <c r="P197" s="39"/>
      <c r="Q197" s="41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 x14ac:dyDescent="0.2">
      <c r="A198" s="5"/>
      <c r="B198" s="19" t="s">
        <v>62</v>
      </c>
      <c r="C198" s="224"/>
      <c r="D198" s="224"/>
      <c r="E198" s="20" t="s">
        <v>11</v>
      </c>
      <c r="F198" s="21"/>
      <c r="G198" s="21"/>
      <c r="H198" s="24"/>
      <c r="I198" s="21"/>
      <c r="J198" s="49"/>
      <c r="K198" s="15"/>
      <c r="L198" s="21"/>
      <c r="M198" s="49"/>
      <c r="N198" s="15"/>
      <c r="O198" s="21"/>
      <c r="P198" s="49"/>
      <c r="Q198" s="2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 x14ac:dyDescent="0.2">
      <c r="A199" s="5"/>
      <c r="B199" s="23"/>
      <c r="C199" s="224"/>
      <c r="D199" s="224"/>
      <c r="E199" s="20" t="s">
        <v>12</v>
      </c>
      <c r="F199" s="21"/>
      <c r="G199" s="21"/>
      <c r="H199" s="24"/>
      <c r="I199" s="14"/>
      <c r="J199" s="16"/>
      <c r="K199" s="15"/>
      <c r="L199" s="14"/>
      <c r="M199" s="16"/>
      <c r="N199" s="15"/>
      <c r="O199" s="14"/>
      <c r="P199" s="16"/>
      <c r="Q199" s="2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 x14ac:dyDescent="0.2">
      <c r="A200" s="5"/>
      <c r="B200" s="23"/>
      <c r="C200" s="224"/>
      <c r="D200" s="224"/>
      <c r="E200" s="20" t="s">
        <v>13</v>
      </c>
      <c r="F200" s="21"/>
      <c r="G200" s="21"/>
      <c r="H200" s="24"/>
      <c r="I200" s="14"/>
      <c r="J200" s="16"/>
      <c r="K200" s="15"/>
      <c r="L200" s="14"/>
      <c r="M200" s="16"/>
      <c r="N200" s="15"/>
      <c r="O200" s="14"/>
      <c r="P200" s="16"/>
      <c r="Q200" s="2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 x14ac:dyDescent="0.2">
      <c r="A201" s="5"/>
      <c r="B201" s="23"/>
      <c r="C201" s="224"/>
      <c r="D201" s="224"/>
      <c r="E201" s="20" t="s">
        <v>14</v>
      </c>
      <c r="F201" s="21"/>
      <c r="G201" s="21"/>
      <c r="H201" s="24"/>
      <c r="I201" s="14"/>
      <c r="J201" s="16"/>
      <c r="K201" s="15"/>
      <c r="L201" s="14"/>
      <c r="M201" s="16"/>
      <c r="N201" s="15"/>
      <c r="O201" s="14"/>
      <c r="P201" s="16"/>
      <c r="Q201" s="2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 x14ac:dyDescent="0.2">
      <c r="A202" s="5"/>
      <c r="B202" s="23"/>
      <c r="C202" s="224"/>
      <c r="D202" s="224"/>
      <c r="E202" s="20" t="s">
        <v>15</v>
      </c>
      <c r="F202" s="21"/>
      <c r="G202" s="21"/>
      <c r="H202" s="24"/>
      <c r="I202" s="14"/>
      <c r="J202" s="16"/>
      <c r="K202" s="15"/>
      <c r="L202" s="14"/>
      <c r="M202" s="16"/>
      <c r="N202" s="15"/>
      <c r="O202" s="14"/>
      <c r="P202" s="16"/>
      <c r="Q202" s="2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 x14ac:dyDescent="0.2">
      <c r="A203" s="5"/>
      <c r="B203" s="23"/>
      <c r="C203" s="224"/>
      <c r="D203" s="224"/>
      <c r="E203" s="20" t="s">
        <v>16</v>
      </c>
      <c r="F203" s="21"/>
      <c r="G203" s="21"/>
      <c r="H203" s="24"/>
      <c r="I203" s="14"/>
      <c r="J203" s="16"/>
      <c r="K203" s="15"/>
      <c r="L203" s="14"/>
      <c r="M203" s="16"/>
      <c r="N203" s="15"/>
      <c r="O203" s="14"/>
      <c r="P203" s="16">
        <v>0.15</v>
      </c>
      <c r="Q203" s="25">
        <v>0.15</v>
      </c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 x14ac:dyDescent="0.2">
      <c r="A204" s="5"/>
      <c r="B204" s="27"/>
      <c r="C204" s="225"/>
      <c r="D204" s="225"/>
      <c r="E204" s="28" t="s">
        <v>17</v>
      </c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30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 x14ac:dyDescent="0.2">
      <c r="A205" s="5"/>
      <c r="B205" s="42"/>
      <c r="C205" s="43"/>
      <c r="D205" s="43"/>
      <c r="E205" s="44" t="s">
        <v>18</v>
      </c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8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 x14ac:dyDescent="0.2">
      <c r="A206" s="5"/>
      <c r="B206" s="5"/>
      <c r="C206" s="5"/>
      <c r="D206" s="5"/>
      <c r="E206" s="5"/>
      <c r="F206" s="7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 x14ac:dyDescent="0.2">
      <c r="A207" s="5"/>
      <c r="B207" s="5"/>
      <c r="C207" s="5"/>
      <c r="D207" s="5"/>
      <c r="E207" s="5"/>
      <c r="F207" s="7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 x14ac:dyDescent="0.2">
      <c r="A208" s="5"/>
      <c r="B208" s="5"/>
      <c r="C208" s="5"/>
      <c r="D208" s="5"/>
      <c r="E208" s="5"/>
      <c r="F208" s="7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 x14ac:dyDescent="0.2">
      <c r="A209" s="5"/>
      <c r="B209" s="5"/>
      <c r="C209" s="5"/>
      <c r="D209" s="5"/>
      <c r="E209" s="5"/>
      <c r="F209" s="7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 x14ac:dyDescent="0.2">
      <c r="A210" s="5"/>
      <c r="B210" s="5"/>
      <c r="C210" s="5"/>
      <c r="D210" s="5"/>
      <c r="E210" s="5"/>
      <c r="F210" s="7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 x14ac:dyDescent="0.2">
      <c r="A211" s="5"/>
      <c r="B211" s="5"/>
      <c r="C211" s="5"/>
      <c r="D211" s="5"/>
      <c r="E211" s="5"/>
      <c r="F211" s="7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 x14ac:dyDescent="0.2">
      <c r="A212" s="5"/>
      <c r="B212" s="5"/>
      <c r="C212" s="5"/>
      <c r="D212" s="5"/>
      <c r="E212" s="5"/>
      <c r="F212" s="7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 x14ac:dyDescent="0.2">
      <c r="A213" s="5"/>
      <c r="B213" s="5"/>
      <c r="C213" s="5"/>
      <c r="D213" s="5"/>
      <c r="E213" s="5"/>
      <c r="F213" s="7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 x14ac:dyDescent="0.2">
      <c r="A214" s="5"/>
      <c r="B214" s="5"/>
      <c r="C214" s="5"/>
      <c r="D214" s="5"/>
      <c r="E214" s="5"/>
      <c r="F214" s="7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 x14ac:dyDescent="0.2">
      <c r="A215" s="5"/>
      <c r="B215" s="5"/>
      <c r="C215" s="5"/>
      <c r="D215" s="5"/>
      <c r="E215" s="5"/>
      <c r="F215" s="7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8">
    <mergeCell ref="B2:Q2"/>
    <mergeCell ref="B3:Q3"/>
    <mergeCell ref="B4:Q4"/>
    <mergeCell ref="B5:Q5"/>
    <mergeCell ref="C8:C15"/>
    <mergeCell ref="D8:D15"/>
    <mergeCell ref="D17:D24"/>
    <mergeCell ref="C17:C24"/>
    <mergeCell ref="C26:C33"/>
    <mergeCell ref="D26:D33"/>
    <mergeCell ref="C35:C42"/>
    <mergeCell ref="D35:D42"/>
    <mergeCell ref="C44:C51"/>
    <mergeCell ref="D44:D51"/>
    <mergeCell ref="C53:C60"/>
    <mergeCell ref="D53:D60"/>
    <mergeCell ref="C62:C69"/>
    <mergeCell ref="D62:D69"/>
    <mergeCell ref="C71:C78"/>
    <mergeCell ref="D71:D78"/>
    <mergeCell ref="D80:D87"/>
    <mergeCell ref="C80:C87"/>
    <mergeCell ref="C89:C96"/>
    <mergeCell ref="D89:D96"/>
    <mergeCell ref="C98:C105"/>
    <mergeCell ref="D98:D105"/>
    <mergeCell ref="C107:C114"/>
    <mergeCell ref="D107:D114"/>
    <mergeCell ref="C116:C123"/>
    <mergeCell ref="D116:D123"/>
    <mergeCell ref="C125:C132"/>
    <mergeCell ref="D125:D132"/>
    <mergeCell ref="C134:C141"/>
    <mergeCell ref="D134:D141"/>
    <mergeCell ref="D143:D150"/>
    <mergeCell ref="C143:C150"/>
    <mergeCell ref="C179:C186"/>
    <mergeCell ref="D179:D186"/>
    <mergeCell ref="C188:C195"/>
    <mergeCell ref="D188:D195"/>
    <mergeCell ref="C197:C204"/>
    <mergeCell ref="D197:D204"/>
    <mergeCell ref="C152:C159"/>
    <mergeCell ref="D152:D159"/>
    <mergeCell ref="C161:C168"/>
    <mergeCell ref="D161:D168"/>
    <mergeCell ref="C170:C177"/>
    <mergeCell ref="D170:D177"/>
  </mergeCells>
  <conditionalFormatting sqref="B8 D8">
    <cfRule type="expression" dxfId="190" priority="1">
      <formula>#REF!="Total"</formula>
    </cfRule>
  </conditionalFormatting>
  <conditionalFormatting sqref="B8:B15">
    <cfRule type="expression" dxfId="189" priority="2">
      <formula>$E8="Total"</formula>
    </cfRule>
  </conditionalFormatting>
  <conditionalFormatting sqref="B17:B24">
    <cfRule type="expression" dxfId="188" priority="3">
      <formula>$E17="Total"</formula>
    </cfRule>
  </conditionalFormatting>
  <conditionalFormatting sqref="B26:B33">
    <cfRule type="expression" dxfId="187" priority="4">
      <formula>$E26="Total"</formula>
    </cfRule>
  </conditionalFormatting>
  <conditionalFormatting sqref="B35:B42">
    <cfRule type="expression" dxfId="186" priority="5">
      <formula>$E35="Total"</formula>
    </cfRule>
  </conditionalFormatting>
  <conditionalFormatting sqref="B44:B51">
    <cfRule type="expression" dxfId="185" priority="6">
      <formula>$E44="Total"</formula>
    </cfRule>
  </conditionalFormatting>
  <conditionalFormatting sqref="B53:B60">
    <cfRule type="expression" dxfId="184" priority="7">
      <formula>$E53="Total"</formula>
    </cfRule>
  </conditionalFormatting>
  <conditionalFormatting sqref="B62:B69">
    <cfRule type="expression" dxfId="183" priority="8">
      <formula>$E62="Total"</formula>
    </cfRule>
  </conditionalFormatting>
  <conditionalFormatting sqref="B71:B78">
    <cfRule type="expression" dxfId="182" priority="9">
      <formula>$E71="Total"</formula>
    </cfRule>
  </conditionalFormatting>
  <conditionalFormatting sqref="B80:B87">
    <cfRule type="expression" dxfId="181" priority="10">
      <formula>$E80="Total"</formula>
    </cfRule>
  </conditionalFormatting>
  <conditionalFormatting sqref="B89:B96">
    <cfRule type="expression" dxfId="180" priority="11">
      <formula>$E89="Total"</formula>
    </cfRule>
  </conditionalFormatting>
  <conditionalFormatting sqref="B98:B105">
    <cfRule type="expression" dxfId="179" priority="12">
      <formula>$E98="Total"</formula>
    </cfRule>
  </conditionalFormatting>
  <conditionalFormatting sqref="B107 D107">
    <cfRule type="expression" dxfId="178" priority="13">
      <formula>#REF!="Total"</formula>
    </cfRule>
  </conditionalFormatting>
  <conditionalFormatting sqref="B107:B114">
    <cfRule type="expression" dxfId="177" priority="14">
      <formula>$E107="Total"</formula>
    </cfRule>
  </conditionalFormatting>
  <conditionalFormatting sqref="B116">
    <cfRule type="expression" dxfId="176" priority="15">
      <formula>$E115="Total"</formula>
    </cfRule>
  </conditionalFormatting>
  <conditionalFormatting sqref="B116:B123">
    <cfRule type="expression" dxfId="175" priority="16">
      <formula>$E116="Total"</formula>
    </cfRule>
  </conditionalFormatting>
  <conditionalFormatting sqref="B125:B132">
    <cfRule type="expression" dxfId="174" priority="17">
      <formula>$E125="Total"</formula>
    </cfRule>
  </conditionalFormatting>
  <conditionalFormatting sqref="B134:B141">
    <cfRule type="expression" dxfId="173" priority="18">
      <formula>$E134="Total"</formula>
    </cfRule>
  </conditionalFormatting>
  <conditionalFormatting sqref="B143:B150">
    <cfRule type="expression" dxfId="172" priority="19">
      <formula>$E143="Total"</formula>
    </cfRule>
  </conditionalFormatting>
  <conditionalFormatting sqref="B152:B159">
    <cfRule type="expression" dxfId="171" priority="20">
      <formula>$E152="Total"</formula>
    </cfRule>
  </conditionalFormatting>
  <conditionalFormatting sqref="B161:B168">
    <cfRule type="expression" dxfId="170" priority="21">
      <formula>$E161="Total"</formula>
    </cfRule>
  </conditionalFormatting>
  <conditionalFormatting sqref="B170:B177">
    <cfRule type="expression" dxfId="169" priority="22">
      <formula>$E170="Total"</formula>
    </cfRule>
  </conditionalFormatting>
  <conditionalFormatting sqref="B179:B186">
    <cfRule type="expression" dxfId="168" priority="23">
      <formula>$E179="Total"</formula>
    </cfRule>
  </conditionalFormatting>
  <conditionalFormatting sqref="B188:B195">
    <cfRule type="expression" dxfId="167" priority="24">
      <formula>$E188="Total"</formula>
    </cfRule>
  </conditionalFormatting>
  <conditionalFormatting sqref="B197:B204">
    <cfRule type="expression" dxfId="166" priority="25">
      <formula>$E197="Total"</formula>
    </cfRule>
  </conditionalFormatting>
  <conditionalFormatting sqref="B7:Q7 E9:E14 F10:H14 E15:Q15 E18:E23 F19:H23 E24:Q24 E27:E32 E33:Q33 E36:E41 E42:Q42 E51:Q51 E60:Q60 D62:E62 E63:E68 E69:Q69 E72:E77 E78:Q78 E81:E86 E87:Q87 E96:Q96 E98:E104 G102:H104 E105:Q105 D107:E107 E108:E113 E114:Q114 D116:E116 E117:E122 E123:Q123">
    <cfRule type="expression" dxfId="165" priority="26">
      <formula>$E7="Total"</formula>
    </cfRule>
  </conditionalFormatting>
  <conditionalFormatting sqref="B16:Q16">
    <cfRule type="expression" dxfId="164" priority="27">
      <formula>$E16="Total"</formula>
    </cfRule>
  </conditionalFormatting>
  <conditionalFormatting sqref="B25:Q25">
    <cfRule type="expression" dxfId="163" priority="28">
      <formula>$E25="Total"</formula>
    </cfRule>
  </conditionalFormatting>
  <conditionalFormatting sqref="B34:Q34">
    <cfRule type="expression" dxfId="162" priority="29">
      <formula>$E34="Total"</formula>
    </cfRule>
  </conditionalFormatting>
  <conditionalFormatting sqref="B43:Q43">
    <cfRule type="expression" dxfId="161" priority="30">
      <formula>$E43="Total"</formula>
    </cfRule>
  </conditionalFormatting>
  <conditionalFormatting sqref="B52:Q52">
    <cfRule type="expression" dxfId="160" priority="31">
      <formula>$E52="Total"</formula>
    </cfRule>
  </conditionalFormatting>
  <conditionalFormatting sqref="B61:Q61">
    <cfRule type="expression" dxfId="159" priority="32">
      <formula>$E61="Total"</formula>
    </cfRule>
  </conditionalFormatting>
  <conditionalFormatting sqref="B70:Q70">
    <cfRule type="expression" dxfId="158" priority="33">
      <formula>$E70="Total"</formula>
    </cfRule>
  </conditionalFormatting>
  <conditionalFormatting sqref="B79:Q79">
    <cfRule type="expression" dxfId="157" priority="34">
      <formula>$E79="Total"</formula>
    </cfRule>
  </conditionalFormatting>
  <conditionalFormatting sqref="B88:Q88">
    <cfRule type="expression" dxfId="156" priority="35">
      <formula>$E88="Total"</formula>
    </cfRule>
  </conditionalFormatting>
  <conditionalFormatting sqref="B97:Q97">
    <cfRule type="expression" dxfId="155" priority="36">
      <formula>$E97="Total"</formula>
    </cfRule>
  </conditionalFormatting>
  <conditionalFormatting sqref="B106:Q106">
    <cfRule type="expression" dxfId="154" priority="37">
      <formula>$E106="Total"</formula>
    </cfRule>
  </conditionalFormatting>
  <conditionalFormatting sqref="B115:Q115">
    <cfRule type="expression" dxfId="153" priority="38">
      <formula>$E115="Total"</formula>
    </cfRule>
  </conditionalFormatting>
  <conditionalFormatting sqref="B124:Q124">
    <cfRule type="expression" dxfId="152" priority="39">
      <formula>$E124="Total"</formula>
    </cfRule>
  </conditionalFormatting>
  <conditionalFormatting sqref="B133:Q133">
    <cfRule type="expression" dxfId="151" priority="40">
      <formula>$E133="Total"</formula>
    </cfRule>
  </conditionalFormatting>
  <conditionalFormatting sqref="B142:Q142">
    <cfRule type="expression" dxfId="150" priority="41">
      <formula>$E142="Total"</formula>
    </cfRule>
  </conditionalFormatting>
  <conditionalFormatting sqref="B151:Q151">
    <cfRule type="expression" dxfId="149" priority="42">
      <formula>$E151="Total"</formula>
    </cfRule>
  </conditionalFormatting>
  <conditionalFormatting sqref="B160:Q160">
    <cfRule type="expression" dxfId="148" priority="43">
      <formula>$E160="Total"</formula>
    </cfRule>
  </conditionalFormatting>
  <conditionalFormatting sqref="B169:Q169">
    <cfRule type="expression" dxfId="147" priority="44">
      <formula>$E169="Total"</formula>
    </cfRule>
  </conditionalFormatting>
  <conditionalFormatting sqref="B178:Q178">
    <cfRule type="expression" dxfId="146" priority="45">
      <formula>$E178="Total"</formula>
    </cfRule>
  </conditionalFormatting>
  <conditionalFormatting sqref="B187:Q187">
    <cfRule type="expression" dxfId="145" priority="46">
      <formula>$E187="Total"</formula>
    </cfRule>
  </conditionalFormatting>
  <conditionalFormatting sqref="B196:Q196">
    <cfRule type="expression" dxfId="144" priority="47">
      <formula>$E196="Total"</formula>
    </cfRule>
  </conditionalFormatting>
  <conditionalFormatting sqref="B205:Q205">
    <cfRule type="expression" dxfId="143" priority="48">
      <formula>$E205="Total"</formula>
    </cfRule>
  </conditionalFormatting>
  <conditionalFormatting sqref="C44:D44">
    <cfRule type="expression" dxfId="142" priority="49">
      <formula>$E44="Total"</formula>
    </cfRule>
  </conditionalFormatting>
  <conditionalFormatting sqref="C53:D53">
    <cfRule type="expression" dxfId="141" priority="50">
      <formula>$E53="Total"</formula>
    </cfRule>
  </conditionalFormatting>
  <conditionalFormatting sqref="C98:D98">
    <cfRule type="expression" dxfId="140" priority="51">
      <formula>$E98="Total"</formula>
    </cfRule>
  </conditionalFormatting>
  <conditionalFormatting sqref="C26:E26">
    <cfRule type="expression" dxfId="139" priority="52">
      <formula>$E26="Total"</formula>
    </cfRule>
  </conditionalFormatting>
  <conditionalFormatting sqref="C35:E35">
    <cfRule type="expression" dxfId="138" priority="53">
      <formula>$E35="Total"</formula>
    </cfRule>
  </conditionalFormatting>
  <conditionalFormatting sqref="C71:E71">
    <cfRule type="expression" dxfId="137" priority="54">
      <formula>$E71="Total"</formula>
    </cfRule>
  </conditionalFormatting>
  <conditionalFormatting sqref="C8:H8">
    <cfRule type="expression" dxfId="136" priority="55">
      <formula>$E8="Total"</formula>
    </cfRule>
  </conditionalFormatting>
  <conditionalFormatting sqref="C17:H17">
    <cfRule type="expression" dxfId="135" priority="56">
      <formula>$E17="Total"</formula>
    </cfRule>
  </conditionalFormatting>
  <conditionalFormatting sqref="D35">
    <cfRule type="expression" dxfId="134" priority="57">
      <formula>$E34="Total"</formula>
    </cfRule>
  </conditionalFormatting>
  <conditionalFormatting sqref="D62">
    <cfRule type="expression" dxfId="133" priority="58">
      <formula>#REF!="Total"</formula>
    </cfRule>
  </conditionalFormatting>
  <conditionalFormatting sqref="D89">
    <cfRule type="expression" dxfId="132" priority="59">
      <formula>$E89="Total"</formula>
    </cfRule>
  </conditionalFormatting>
  <conditionalFormatting sqref="D116">
    <cfRule type="expression" dxfId="131" priority="60">
      <formula>$E115="Total"</formula>
    </cfRule>
  </conditionalFormatting>
  <conditionalFormatting sqref="D80:E80">
    <cfRule type="expression" dxfId="130" priority="61">
      <formula>$E80="Total"</formula>
    </cfRule>
  </conditionalFormatting>
  <conditionalFormatting sqref="D125:E125 E126:E131 E132:Q132 D134:E134 E135:E140 E141:Q141 D143:E143 E144:E149 E150:Q150">
    <cfRule type="expression" dxfId="129" priority="62">
      <formula>$E125="Total"</formula>
    </cfRule>
  </conditionalFormatting>
  <conditionalFormatting sqref="D152:E152 E153:E158 E159:Q159">
    <cfRule type="expression" dxfId="128" priority="63">
      <formula>$E152="Total"</formula>
    </cfRule>
  </conditionalFormatting>
  <conditionalFormatting sqref="D161:E161 E162:E167 E168:Q168">
    <cfRule type="expression" dxfId="127" priority="64">
      <formula>$E161="Total"</formula>
    </cfRule>
  </conditionalFormatting>
  <conditionalFormatting sqref="D170:E170 E171:E176 E177:Q177">
    <cfRule type="expression" dxfId="126" priority="65">
      <formula>$E170="Total"</formula>
    </cfRule>
  </conditionalFormatting>
  <conditionalFormatting sqref="D179:E179 E180:E185 E186:Q186">
    <cfRule type="expression" dxfId="125" priority="66">
      <formula>$E179="Total"</formula>
    </cfRule>
  </conditionalFormatting>
  <conditionalFormatting sqref="D188:E188 E189:E194 E195:Q195">
    <cfRule type="expression" dxfId="124" priority="67">
      <formula>$E188="Total"</formula>
    </cfRule>
  </conditionalFormatting>
  <conditionalFormatting sqref="D197:E197 E198:E203 E204:Q204">
    <cfRule type="expression" dxfId="123" priority="68">
      <formula>$E197="Total"</formula>
    </cfRule>
  </conditionalFormatting>
  <conditionalFormatting sqref="E44:H50">
    <cfRule type="expression" dxfId="122" priority="69">
      <formula>$E44="Total"</formula>
    </cfRule>
  </conditionalFormatting>
  <conditionalFormatting sqref="E53:H59">
    <cfRule type="expression" dxfId="121" priority="70">
      <formula>$E53="Total"</formula>
    </cfRule>
  </conditionalFormatting>
  <conditionalFormatting sqref="E89:H95">
    <cfRule type="expression" dxfId="120" priority="71">
      <formula>$E89="Total"</formula>
    </cfRule>
  </conditionalFormatting>
  <conditionalFormatting sqref="F98:F104">
    <cfRule type="expression" dxfId="119" priority="72">
      <formula>$B98="Total"</formula>
    </cfRule>
  </conditionalFormatting>
  <conditionalFormatting sqref="F28:H32">
    <cfRule type="expression" dxfId="118" priority="73">
      <formula>$E28="Total"</formula>
    </cfRule>
  </conditionalFormatting>
  <conditionalFormatting sqref="F35:H41">
    <cfRule type="expression" dxfId="117" priority="74">
      <formula>$E35="Total"</formula>
    </cfRule>
  </conditionalFormatting>
  <conditionalFormatting sqref="F62:H68">
    <cfRule type="expression" dxfId="116" priority="75">
      <formula>$E62="Total"</formula>
    </cfRule>
  </conditionalFormatting>
  <conditionalFormatting sqref="F71:H77">
    <cfRule type="expression" dxfId="115" priority="76">
      <formula>$E71="Total"</formula>
    </cfRule>
  </conditionalFormatting>
  <conditionalFormatting sqref="F80:H86">
    <cfRule type="expression" dxfId="114" priority="77">
      <formula>$E80="Total"</formula>
    </cfRule>
  </conditionalFormatting>
  <conditionalFormatting sqref="F107:H113">
    <cfRule type="expression" dxfId="113" priority="78">
      <formula>$E107="Total"</formula>
    </cfRule>
  </conditionalFormatting>
  <conditionalFormatting sqref="F116:H122">
    <cfRule type="expression" dxfId="112" priority="79">
      <formula>$E116="Total"</formula>
    </cfRule>
  </conditionalFormatting>
  <conditionalFormatting sqref="F125:H131">
    <cfRule type="expression" dxfId="111" priority="80">
      <formula>$E125="Total"</formula>
    </cfRule>
  </conditionalFormatting>
  <conditionalFormatting sqref="F134:H140">
    <cfRule type="expression" dxfId="110" priority="81">
      <formula>$E134="Total"</formula>
    </cfRule>
  </conditionalFormatting>
  <conditionalFormatting sqref="F143:H149">
    <cfRule type="expression" dxfId="109" priority="82">
      <formula>$E143="Total"</formula>
    </cfRule>
  </conditionalFormatting>
  <conditionalFormatting sqref="F152:H158">
    <cfRule type="expression" dxfId="108" priority="83">
      <formula>$E152="Total"</formula>
    </cfRule>
  </conditionalFormatting>
  <conditionalFormatting sqref="F161:H167">
    <cfRule type="expression" dxfId="107" priority="84">
      <formula>$E161="Total"</formula>
    </cfRule>
  </conditionalFormatting>
  <conditionalFormatting sqref="F170:H176">
    <cfRule type="expression" dxfId="106" priority="85">
      <formula>$E170="Total"</formula>
    </cfRule>
  </conditionalFormatting>
  <conditionalFormatting sqref="F179:H185">
    <cfRule type="expression" dxfId="105" priority="86">
      <formula>$E179="Total"</formula>
    </cfRule>
  </conditionalFormatting>
  <conditionalFormatting sqref="F188:H194">
    <cfRule type="expression" dxfId="104" priority="87">
      <formula>$E188="Total"</formula>
    </cfRule>
  </conditionalFormatting>
  <conditionalFormatting sqref="F197:H203">
    <cfRule type="expression" dxfId="103" priority="88">
      <formula>$E197="Total"</formula>
    </cfRule>
  </conditionalFormatting>
  <conditionalFormatting sqref="F9:Q9">
    <cfRule type="expression" dxfId="102" priority="89">
      <formula>$E9="Total"</formula>
    </cfRule>
  </conditionalFormatting>
  <conditionalFormatting sqref="F18:Q18">
    <cfRule type="expression" dxfId="101" priority="90">
      <formula>$E18="Total"</formula>
    </cfRule>
  </conditionalFormatting>
  <conditionalFormatting sqref="F26:Q27">
    <cfRule type="expression" dxfId="100" priority="91">
      <formula>$E26="Total"</formula>
    </cfRule>
  </conditionalFormatting>
  <conditionalFormatting sqref="G98:H100">
    <cfRule type="expression" dxfId="99" priority="92">
      <formula>$E98="Total"</formula>
    </cfRule>
  </conditionalFormatting>
  <conditionalFormatting sqref="G101:Q101">
    <cfRule type="expression" dxfId="98" priority="93">
      <formula>$B101="Total"</formula>
    </cfRule>
  </conditionalFormatting>
  <conditionalFormatting sqref="I23:Q23">
    <cfRule type="expression" dxfId="97" priority="94">
      <formula>$E23="Total"</formula>
    </cfRule>
  </conditionalFormatting>
  <conditionalFormatting sqref="I57:Q57">
    <cfRule type="expression" dxfId="96" priority="95">
      <formula>$E57="Total"</formula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00"/>
  <sheetViews>
    <sheetView workbookViewId="0"/>
  </sheetViews>
  <sheetFormatPr baseColWidth="10" defaultColWidth="14.5" defaultRowHeight="15" customHeight="1" x14ac:dyDescent="0.2"/>
  <cols>
    <col min="1" max="27" width="10.6640625" customWidth="1"/>
  </cols>
  <sheetData>
    <row r="1" spans="1:27" ht="16" x14ac:dyDescent="0.2">
      <c r="A1" s="89" t="s">
        <v>111</v>
      </c>
      <c r="B1" s="89" t="s">
        <v>112</v>
      </c>
      <c r="C1" s="89" t="s">
        <v>113</v>
      </c>
      <c r="D1" s="89" t="s">
        <v>114</v>
      </c>
      <c r="E1" s="89" t="s">
        <v>115</v>
      </c>
      <c r="F1" s="89" t="s">
        <v>116</v>
      </c>
      <c r="G1" s="89" t="s">
        <v>117</v>
      </c>
      <c r="H1" s="89" t="s">
        <v>118</v>
      </c>
      <c r="I1" s="89" t="s">
        <v>119</v>
      </c>
      <c r="J1" s="90" t="s">
        <v>120</v>
      </c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</row>
    <row r="2" spans="1:27" ht="16" x14ac:dyDescent="0.2">
      <c r="A2" s="89" t="s">
        <v>82</v>
      </c>
      <c r="B2" s="89" t="s">
        <v>121</v>
      </c>
      <c r="C2" s="89" t="s">
        <v>122</v>
      </c>
      <c r="D2" s="89" t="s">
        <v>28</v>
      </c>
      <c r="E2" s="89" t="s">
        <v>123</v>
      </c>
      <c r="F2" s="91">
        <v>44599</v>
      </c>
      <c r="G2" s="90"/>
      <c r="H2" s="89" t="s">
        <v>124</v>
      </c>
      <c r="I2" s="89" t="s">
        <v>8</v>
      </c>
      <c r="J2" s="92">
        <v>1</v>
      </c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</row>
    <row r="3" spans="1:27" ht="16" x14ac:dyDescent="0.2">
      <c r="A3" s="89" t="s">
        <v>125</v>
      </c>
      <c r="B3" s="89" t="s">
        <v>126</v>
      </c>
      <c r="C3" s="89" t="s">
        <v>127</v>
      </c>
      <c r="D3" s="89" t="s">
        <v>128</v>
      </c>
      <c r="E3" s="89" t="s">
        <v>129</v>
      </c>
      <c r="F3" s="91">
        <v>44347</v>
      </c>
      <c r="G3" s="93">
        <v>44917</v>
      </c>
      <c r="H3" s="89" t="s">
        <v>130</v>
      </c>
      <c r="I3" s="89" t="s">
        <v>38</v>
      </c>
      <c r="J3" s="94">
        <v>0.48</v>
      </c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</row>
    <row r="4" spans="1:27" ht="16" x14ac:dyDescent="0.2">
      <c r="A4" s="89" t="s">
        <v>131</v>
      </c>
      <c r="B4" s="89" t="s">
        <v>121</v>
      </c>
      <c r="C4" s="89" t="s">
        <v>127</v>
      </c>
      <c r="D4" s="89" t="s">
        <v>132</v>
      </c>
      <c r="E4" s="89" t="s">
        <v>123</v>
      </c>
      <c r="F4" s="91">
        <v>43164</v>
      </c>
      <c r="G4" s="90"/>
      <c r="H4" s="89" t="s">
        <v>133</v>
      </c>
      <c r="I4" s="89" t="s">
        <v>38</v>
      </c>
      <c r="J4" s="92">
        <v>0</v>
      </c>
      <c r="K4" s="90" t="s">
        <v>134</v>
      </c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</row>
    <row r="5" spans="1:27" ht="16" x14ac:dyDescent="0.2">
      <c r="A5" s="89" t="s">
        <v>135</v>
      </c>
      <c r="B5" s="89" t="s">
        <v>126</v>
      </c>
      <c r="C5" s="89" t="s">
        <v>122</v>
      </c>
      <c r="D5" s="89" t="s">
        <v>128</v>
      </c>
      <c r="E5" s="89" t="s">
        <v>123</v>
      </c>
      <c r="F5" s="91">
        <v>44838</v>
      </c>
      <c r="G5" s="91">
        <v>45366</v>
      </c>
      <c r="H5" s="89" t="s">
        <v>136</v>
      </c>
      <c r="I5" s="89" t="s">
        <v>8</v>
      </c>
      <c r="J5" s="92">
        <v>1</v>
      </c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</row>
    <row r="6" spans="1:27" ht="16" x14ac:dyDescent="0.2">
      <c r="A6" s="89" t="s">
        <v>21</v>
      </c>
      <c r="B6" s="89" t="s">
        <v>121</v>
      </c>
      <c r="C6" s="89" t="s">
        <v>137</v>
      </c>
      <c r="D6" s="89" t="s">
        <v>138</v>
      </c>
      <c r="E6" s="89" t="s">
        <v>139</v>
      </c>
      <c r="F6" s="91">
        <v>44378</v>
      </c>
      <c r="G6" s="90"/>
      <c r="H6" s="89" t="s">
        <v>140</v>
      </c>
      <c r="I6" s="89" t="s">
        <v>38</v>
      </c>
      <c r="J6" s="92">
        <v>1</v>
      </c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</row>
    <row r="7" spans="1:27" ht="16" x14ac:dyDescent="0.2">
      <c r="A7" s="89" t="s">
        <v>141</v>
      </c>
      <c r="B7" s="89" t="s">
        <v>121</v>
      </c>
      <c r="C7" s="89" t="s">
        <v>122</v>
      </c>
      <c r="D7" s="89" t="s">
        <v>142</v>
      </c>
      <c r="E7" s="89" t="s">
        <v>129</v>
      </c>
      <c r="F7" s="91">
        <v>44823</v>
      </c>
      <c r="G7" s="90"/>
      <c r="H7" s="89" t="s">
        <v>143</v>
      </c>
      <c r="I7" s="89" t="s">
        <v>8</v>
      </c>
      <c r="J7" s="92">
        <v>1</v>
      </c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</row>
    <row r="8" spans="1:27" ht="16" x14ac:dyDescent="0.2">
      <c r="A8" s="89" t="s">
        <v>7</v>
      </c>
      <c r="B8" s="89" t="s">
        <v>121</v>
      </c>
      <c r="C8" s="89" t="s">
        <v>137</v>
      </c>
      <c r="D8" s="89" t="s">
        <v>144</v>
      </c>
      <c r="E8" s="89" t="s">
        <v>145</v>
      </c>
      <c r="F8" s="91">
        <v>42309</v>
      </c>
      <c r="G8" s="90"/>
      <c r="H8" s="89" t="s">
        <v>146</v>
      </c>
      <c r="I8" s="89" t="s">
        <v>38</v>
      </c>
      <c r="J8" s="92">
        <v>1</v>
      </c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</row>
    <row r="9" spans="1:27" ht="16" x14ac:dyDescent="0.2">
      <c r="A9" s="89" t="s">
        <v>23</v>
      </c>
      <c r="B9" s="89" t="s">
        <v>126</v>
      </c>
      <c r="C9" s="89" t="s">
        <v>147</v>
      </c>
      <c r="D9" s="89" t="s">
        <v>148</v>
      </c>
      <c r="E9" s="89" t="s">
        <v>145</v>
      </c>
      <c r="F9" s="91">
        <v>42821</v>
      </c>
      <c r="G9" s="91">
        <v>45216</v>
      </c>
      <c r="H9" s="89" t="s">
        <v>149</v>
      </c>
      <c r="I9" s="89" t="s">
        <v>38</v>
      </c>
      <c r="J9" s="92">
        <v>1</v>
      </c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</row>
    <row r="10" spans="1:27" ht="16" x14ac:dyDescent="0.2">
      <c r="A10" s="89" t="s">
        <v>150</v>
      </c>
      <c r="B10" s="89" t="s">
        <v>121</v>
      </c>
      <c r="C10" s="89" t="s">
        <v>147</v>
      </c>
      <c r="D10" s="89" t="s">
        <v>138</v>
      </c>
      <c r="E10" s="89" t="s">
        <v>145</v>
      </c>
      <c r="F10" s="91">
        <v>44678</v>
      </c>
      <c r="G10" s="90"/>
      <c r="H10" s="89" t="s">
        <v>151</v>
      </c>
      <c r="I10" s="89" t="s">
        <v>38</v>
      </c>
      <c r="J10" s="92">
        <v>1</v>
      </c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</row>
    <row r="11" spans="1:27" ht="16" x14ac:dyDescent="0.2">
      <c r="A11" s="89" t="s">
        <v>152</v>
      </c>
      <c r="B11" s="89" t="s">
        <v>121</v>
      </c>
      <c r="C11" s="89" t="s">
        <v>122</v>
      </c>
      <c r="D11" s="89" t="s">
        <v>138</v>
      </c>
      <c r="E11" s="89" t="s">
        <v>123</v>
      </c>
      <c r="F11" s="91">
        <v>44641</v>
      </c>
      <c r="G11" s="90"/>
      <c r="H11" s="89" t="s">
        <v>153</v>
      </c>
      <c r="I11" s="89" t="s">
        <v>8</v>
      </c>
      <c r="J11" s="92">
        <v>1</v>
      </c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</row>
    <row r="12" spans="1:27" ht="16" x14ac:dyDescent="0.2">
      <c r="A12" s="89" t="s">
        <v>37</v>
      </c>
      <c r="B12" s="89" t="s">
        <v>121</v>
      </c>
      <c r="C12" s="89" t="s">
        <v>154</v>
      </c>
      <c r="D12" s="89" t="s">
        <v>148</v>
      </c>
      <c r="E12" s="89" t="s">
        <v>123</v>
      </c>
      <c r="F12" s="91">
        <v>42401</v>
      </c>
      <c r="G12" s="90"/>
      <c r="H12" s="89" t="s">
        <v>155</v>
      </c>
      <c r="I12" s="89" t="s">
        <v>8</v>
      </c>
      <c r="J12" s="92">
        <v>1</v>
      </c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</row>
    <row r="13" spans="1:27" ht="16" x14ac:dyDescent="0.2">
      <c r="A13" s="89" t="s">
        <v>156</v>
      </c>
      <c r="B13" s="89" t="s">
        <v>126</v>
      </c>
      <c r="C13" s="89" t="s">
        <v>122</v>
      </c>
      <c r="D13" s="89" t="s">
        <v>138</v>
      </c>
      <c r="E13" s="89" t="s">
        <v>129</v>
      </c>
      <c r="F13" s="91">
        <v>45062</v>
      </c>
      <c r="G13" s="91">
        <v>45114</v>
      </c>
      <c r="H13" s="89" t="s">
        <v>157</v>
      </c>
      <c r="I13" s="89" t="s">
        <v>8</v>
      </c>
      <c r="J13" s="94">
        <v>0.02</v>
      </c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</row>
    <row r="14" spans="1:27" ht="16" x14ac:dyDescent="0.2">
      <c r="A14" s="89" t="s">
        <v>158</v>
      </c>
      <c r="B14" s="89" t="s">
        <v>121</v>
      </c>
      <c r="C14" s="89" t="s">
        <v>122</v>
      </c>
      <c r="D14" s="90"/>
      <c r="E14" s="89" t="s">
        <v>129</v>
      </c>
      <c r="F14" s="91">
        <v>45068</v>
      </c>
      <c r="G14" s="90"/>
      <c r="H14" s="89" t="s">
        <v>159</v>
      </c>
      <c r="I14" s="89" t="s">
        <v>8</v>
      </c>
      <c r="J14" s="92">
        <v>1</v>
      </c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</row>
    <row r="15" spans="1:27" ht="16" x14ac:dyDescent="0.2">
      <c r="A15" s="89" t="s">
        <v>29</v>
      </c>
      <c r="B15" s="89" t="s">
        <v>126</v>
      </c>
      <c r="C15" s="89" t="s">
        <v>147</v>
      </c>
      <c r="D15" s="89" t="s">
        <v>160</v>
      </c>
      <c r="E15" s="89" t="s">
        <v>145</v>
      </c>
      <c r="F15" s="91">
        <v>43871</v>
      </c>
      <c r="G15" s="91">
        <v>44785</v>
      </c>
      <c r="H15" s="89" t="s">
        <v>161</v>
      </c>
      <c r="I15" s="89" t="s">
        <v>38</v>
      </c>
      <c r="J15" s="94">
        <v>0.12</v>
      </c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</row>
    <row r="16" spans="1:27" ht="16" x14ac:dyDescent="0.2">
      <c r="A16" s="89" t="s">
        <v>50</v>
      </c>
      <c r="B16" s="89" t="s">
        <v>126</v>
      </c>
      <c r="C16" s="89" t="s">
        <v>162</v>
      </c>
      <c r="D16" s="89" t="s">
        <v>148</v>
      </c>
      <c r="E16" s="89" t="s">
        <v>123</v>
      </c>
      <c r="F16" s="91">
        <v>44470</v>
      </c>
      <c r="G16" s="91">
        <v>44999</v>
      </c>
      <c r="H16" s="89" t="s">
        <v>136</v>
      </c>
      <c r="I16" s="89" t="s">
        <v>8</v>
      </c>
      <c r="J16" s="94">
        <v>0.7</v>
      </c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</row>
    <row r="17" spans="1:27" ht="16" x14ac:dyDescent="0.2">
      <c r="A17" s="89" t="s">
        <v>25</v>
      </c>
      <c r="B17" s="89" t="s">
        <v>126</v>
      </c>
      <c r="C17" s="89" t="s">
        <v>147</v>
      </c>
      <c r="D17" s="89" t="s">
        <v>160</v>
      </c>
      <c r="E17" s="89" t="s">
        <v>123</v>
      </c>
      <c r="F17" s="91">
        <v>42265</v>
      </c>
      <c r="G17" s="91">
        <v>45114</v>
      </c>
      <c r="H17" s="89" t="s">
        <v>163</v>
      </c>
      <c r="I17" s="89" t="s">
        <v>38</v>
      </c>
      <c r="J17" s="92">
        <v>1</v>
      </c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</row>
    <row r="18" spans="1:27" ht="16" x14ac:dyDescent="0.2">
      <c r="A18" s="89" t="s">
        <v>56</v>
      </c>
      <c r="B18" s="89" t="s">
        <v>126</v>
      </c>
      <c r="C18" s="89" t="s">
        <v>127</v>
      </c>
      <c r="D18" s="89" t="s">
        <v>138</v>
      </c>
      <c r="E18" s="89" t="s">
        <v>123</v>
      </c>
      <c r="F18" s="91">
        <v>42856</v>
      </c>
      <c r="G18" s="91">
        <v>44813</v>
      </c>
      <c r="H18" s="89" t="s">
        <v>164</v>
      </c>
      <c r="I18" s="89" t="s">
        <v>38</v>
      </c>
      <c r="J18" s="94">
        <v>0.15</v>
      </c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</row>
    <row r="19" spans="1:27" ht="16" x14ac:dyDescent="0.2">
      <c r="A19" s="89" t="s">
        <v>64</v>
      </c>
      <c r="B19" s="89" t="s">
        <v>126</v>
      </c>
      <c r="C19" s="89" t="s">
        <v>165</v>
      </c>
      <c r="D19" s="89" t="s">
        <v>28</v>
      </c>
      <c r="E19" s="89" t="s">
        <v>129</v>
      </c>
      <c r="F19" s="91">
        <v>44571</v>
      </c>
      <c r="G19" s="91">
        <v>45138</v>
      </c>
      <c r="H19" s="89" t="s">
        <v>130</v>
      </c>
      <c r="I19" s="89" t="s">
        <v>8</v>
      </c>
      <c r="J19" s="92">
        <v>1</v>
      </c>
      <c r="K19" s="89" t="s">
        <v>166</v>
      </c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</row>
    <row r="20" spans="1:27" ht="16" x14ac:dyDescent="0.2">
      <c r="A20" s="89" t="s">
        <v>167</v>
      </c>
      <c r="B20" s="89" t="s">
        <v>121</v>
      </c>
      <c r="C20" s="89" t="s">
        <v>168</v>
      </c>
      <c r="D20" s="89" t="s">
        <v>142</v>
      </c>
      <c r="E20" s="89" t="s">
        <v>123</v>
      </c>
      <c r="F20" s="91">
        <v>43339</v>
      </c>
      <c r="G20" s="90"/>
      <c r="H20" s="89" t="s">
        <v>169</v>
      </c>
      <c r="I20" s="89" t="s">
        <v>8</v>
      </c>
      <c r="J20" s="92">
        <v>1</v>
      </c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</row>
    <row r="21" spans="1:27" ht="15.75" customHeight="1" x14ac:dyDescent="0.2">
      <c r="A21" s="89" t="s">
        <v>170</v>
      </c>
      <c r="B21" s="89" t="s">
        <v>121</v>
      </c>
      <c r="C21" s="89" t="s">
        <v>122</v>
      </c>
      <c r="D21" s="90"/>
      <c r="E21" s="89" t="s">
        <v>129</v>
      </c>
      <c r="F21" s="91">
        <v>44824</v>
      </c>
      <c r="G21" s="90"/>
      <c r="H21" s="89" t="s">
        <v>143</v>
      </c>
      <c r="I21" s="89" t="s">
        <v>8</v>
      </c>
      <c r="J21" s="94">
        <v>0.78</v>
      </c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</row>
    <row r="22" spans="1:27" ht="15.75" customHeight="1" x14ac:dyDescent="0.2">
      <c r="A22" s="89" t="s">
        <v>171</v>
      </c>
      <c r="B22" s="89" t="s">
        <v>126</v>
      </c>
      <c r="C22" s="89" t="s">
        <v>147</v>
      </c>
      <c r="D22" s="89" t="s">
        <v>172</v>
      </c>
      <c r="E22" s="89" t="s">
        <v>129</v>
      </c>
      <c r="F22" s="91">
        <v>44328</v>
      </c>
      <c r="G22" s="91">
        <v>44778</v>
      </c>
      <c r="H22" s="89" t="s">
        <v>173</v>
      </c>
      <c r="I22" s="89" t="s">
        <v>38</v>
      </c>
      <c r="J22" s="94">
        <v>0.1</v>
      </c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</row>
    <row r="23" spans="1:27" ht="15.75" customHeight="1" x14ac:dyDescent="0.2">
      <c r="A23" s="89" t="s">
        <v>174</v>
      </c>
      <c r="B23" s="89" t="s">
        <v>121</v>
      </c>
      <c r="C23" s="89" t="s">
        <v>122</v>
      </c>
      <c r="D23" s="90"/>
      <c r="E23" s="89" t="s">
        <v>123</v>
      </c>
      <c r="F23" s="91">
        <v>45180</v>
      </c>
      <c r="G23" s="90"/>
      <c r="H23" s="89" t="s">
        <v>175</v>
      </c>
      <c r="I23" s="89" t="s">
        <v>8</v>
      </c>
      <c r="J23" s="92">
        <v>0</v>
      </c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</row>
    <row r="24" spans="1:27" ht="15.75" customHeight="1" x14ac:dyDescent="0.2">
      <c r="A24" s="89" t="s">
        <v>176</v>
      </c>
      <c r="B24" s="89" t="s">
        <v>121</v>
      </c>
      <c r="C24" s="89" t="s">
        <v>168</v>
      </c>
      <c r="D24" s="89" t="s">
        <v>138</v>
      </c>
      <c r="E24" s="89" t="s">
        <v>123</v>
      </c>
      <c r="F24" s="91">
        <v>45412</v>
      </c>
      <c r="G24" s="90"/>
      <c r="H24" s="89" t="s">
        <v>157</v>
      </c>
      <c r="I24" s="89" t="s">
        <v>8</v>
      </c>
      <c r="J24" s="92">
        <v>0</v>
      </c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</row>
    <row r="25" spans="1:27" ht="15.75" customHeight="1" x14ac:dyDescent="0.2">
      <c r="A25" s="89" t="s">
        <v>63</v>
      </c>
      <c r="B25" s="89" t="s">
        <v>126</v>
      </c>
      <c r="C25" s="89" t="s">
        <v>137</v>
      </c>
      <c r="D25" s="89" t="s">
        <v>138</v>
      </c>
      <c r="E25" s="89" t="s">
        <v>123</v>
      </c>
      <c r="F25" s="91">
        <v>44571</v>
      </c>
      <c r="G25" s="91">
        <v>45199</v>
      </c>
      <c r="H25" s="89" t="s">
        <v>143</v>
      </c>
      <c r="I25" s="89" t="s">
        <v>38</v>
      </c>
      <c r="J25" s="92">
        <v>1</v>
      </c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</row>
    <row r="26" spans="1:27" ht="15.75" customHeight="1" x14ac:dyDescent="0.2">
      <c r="A26" s="89" t="s">
        <v>41</v>
      </c>
      <c r="B26" s="89" t="s">
        <v>121</v>
      </c>
      <c r="C26" s="89" t="s">
        <v>177</v>
      </c>
      <c r="D26" s="89" t="s">
        <v>138</v>
      </c>
      <c r="E26" s="89" t="s">
        <v>145</v>
      </c>
      <c r="F26" s="91">
        <v>44362</v>
      </c>
      <c r="G26" s="90"/>
      <c r="H26" s="89" t="s">
        <v>178</v>
      </c>
      <c r="I26" s="89" t="s">
        <v>38</v>
      </c>
      <c r="J26" s="92">
        <v>1</v>
      </c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</row>
    <row r="27" spans="1:27" ht="15.75" customHeight="1" x14ac:dyDescent="0.2">
      <c r="A27" s="89" t="s">
        <v>179</v>
      </c>
      <c r="B27" s="89" t="s">
        <v>121</v>
      </c>
      <c r="C27" s="89" t="s">
        <v>122</v>
      </c>
      <c r="D27" s="89" t="s">
        <v>138</v>
      </c>
      <c r="E27" s="89" t="s">
        <v>129</v>
      </c>
      <c r="F27" s="91">
        <v>44809</v>
      </c>
      <c r="G27" s="90"/>
      <c r="H27" s="89" t="s">
        <v>143</v>
      </c>
      <c r="I27" s="89" t="s">
        <v>8</v>
      </c>
      <c r="J27" s="94">
        <v>0.82</v>
      </c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</row>
    <row r="28" spans="1:27" ht="15.75" customHeight="1" x14ac:dyDescent="0.2">
      <c r="A28" s="89" t="s">
        <v>180</v>
      </c>
      <c r="B28" s="89" t="s">
        <v>121</v>
      </c>
      <c r="C28" s="89" t="s">
        <v>168</v>
      </c>
      <c r="D28" s="89" t="s">
        <v>138</v>
      </c>
      <c r="E28" s="89" t="s">
        <v>123</v>
      </c>
      <c r="F28" s="91">
        <v>44809</v>
      </c>
      <c r="G28" s="90"/>
      <c r="H28" s="89" t="s">
        <v>143</v>
      </c>
      <c r="I28" s="89" t="s">
        <v>8</v>
      </c>
      <c r="J28" s="94">
        <v>0.82</v>
      </c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</row>
    <row r="29" spans="1:27" ht="15.75" customHeight="1" x14ac:dyDescent="0.2">
      <c r="A29" s="89" t="s">
        <v>181</v>
      </c>
      <c r="B29" s="89" t="s">
        <v>121</v>
      </c>
      <c r="C29" s="89" t="s">
        <v>122</v>
      </c>
      <c r="D29" s="89" t="s">
        <v>28</v>
      </c>
      <c r="E29" s="89" t="s">
        <v>129</v>
      </c>
      <c r="F29" s="91">
        <v>45159</v>
      </c>
      <c r="G29" s="90"/>
      <c r="H29" s="89" t="s">
        <v>182</v>
      </c>
      <c r="I29" s="89" t="s">
        <v>8</v>
      </c>
      <c r="J29" s="92">
        <v>0</v>
      </c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</row>
    <row r="30" spans="1:27" ht="15.75" customHeight="1" x14ac:dyDescent="0.2">
      <c r="A30" s="89" t="s">
        <v>183</v>
      </c>
      <c r="B30" s="89" t="s">
        <v>121</v>
      </c>
      <c r="C30" s="89" t="s">
        <v>122</v>
      </c>
      <c r="D30" s="89" t="s">
        <v>148</v>
      </c>
      <c r="E30" s="89" t="s">
        <v>129</v>
      </c>
      <c r="F30" s="91">
        <v>44958</v>
      </c>
      <c r="G30" s="90"/>
      <c r="H30" s="89" t="s">
        <v>184</v>
      </c>
      <c r="I30" s="89" t="s">
        <v>8</v>
      </c>
      <c r="J30" s="94">
        <v>0.41</v>
      </c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</row>
    <row r="31" spans="1:27" ht="15.75" customHeight="1" x14ac:dyDescent="0.2">
      <c r="A31" s="89" t="s">
        <v>185</v>
      </c>
      <c r="B31" s="89" t="s">
        <v>126</v>
      </c>
      <c r="C31" s="89" t="s">
        <v>186</v>
      </c>
      <c r="D31" s="89" t="s">
        <v>132</v>
      </c>
      <c r="E31" s="89" t="s">
        <v>145</v>
      </c>
      <c r="F31" s="91">
        <v>44531</v>
      </c>
      <c r="G31" s="91">
        <v>45107</v>
      </c>
      <c r="H31" s="89" t="s">
        <v>130</v>
      </c>
      <c r="I31" s="89" t="s">
        <v>8</v>
      </c>
      <c r="J31" s="92">
        <v>1</v>
      </c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</row>
    <row r="32" spans="1:27" ht="15.75" customHeight="1" x14ac:dyDescent="0.2">
      <c r="A32" s="89" t="s">
        <v>187</v>
      </c>
      <c r="B32" s="89" t="s">
        <v>121</v>
      </c>
      <c r="C32" s="89" t="s">
        <v>147</v>
      </c>
      <c r="D32" s="89" t="s">
        <v>148</v>
      </c>
      <c r="E32" s="89" t="s">
        <v>145</v>
      </c>
      <c r="F32" s="91">
        <v>44319</v>
      </c>
      <c r="G32" s="90"/>
      <c r="H32" s="89" t="s">
        <v>188</v>
      </c>
      <c r="I32" s="89" t="s">
        <v>38</v>
      </c>
      <c r="J32" s="92">
        <v>1</v>
      </c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</row>
    <row r="33" spans="1:27" ht="15.75" customHeight="1" x14ac:dyDescent="0.2">
      <c r="A33" s="89" t="s">
        <v>189</v>
      </c>
      <c r="B33" s="89" t="s">
        <v>121</v>
      </c>
      <c r="C33" s="89" t="s">
        <v>122</v>
      </c>
      <c r="D33" s="89" t="s">
        <v>138</v>
      </c>
      <c r="E33" s="89" t="s">
        <v>129</v>
      </c>
      <c r="F33" s="91">
        <v>44677</v>
      </c>
      <c r="G33" s="90"/>
      <c r="H33" s="89" t="s">
        <v>151</v>
      </c>
      <c r="I33" s="89" t="s">
        <v>8</v>
      </c>
      <c r="J33" s="92">
        <v>1</v>
      </c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</row>
    <row r="34" spans="1:27" ht="15.75" customHeight="1" x14ac:dyDescent="0.2">
      <c r="A34" s="89" t="s">
        <v>190</v>
      </c>
      <c r="B34" s="89" t="s">
        <v>126</v>
      </c>
      <c r="C34" s="89" t="s">
        <v>191</v>
      </c>
      <c r="D34" s="89" t="s">
        <v>132</v>
      </c>
      <c r="E34" s="89" t="s">
        <v>123</v>
      </c>
      <c r="F34" s="91">
        <v>43831</v>
      </c>
      <c r="G34" s="91">
        <v>44927</v>
      </c>
      <c r="H34" s="89" t="s">
        <v>188</v>
      </c>
      <c r="I34" s="89" t="s">
        <v>8</v>
      </c>
      <c r="J34" s="94">
        <v>0.59</v>
      </c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</row>
    <row r="35" spans="1:27" ht="15.75" customHeight="1" x14ac:dyDescent="0.2">
      <c r="A35" s="89" t="s">
        <v>192</v>
      </c>
      <c r="B35" s="89" t="s">
        <v>126</v>
      </c>
      <c r="C35" s="89" t="s">
        <v>122</v>
      </c>
      <c r="D35" s="89" t="s">
        <v>138</v>
      </c>
      <c r="E35" s="89" t="s">
        <v>129</v>
      </c>
      <c r="F35" s="91">
        <v>44543</v>
      </c>
      <c r="G35" s="91">
        <v>45054</v>
      </c>
      <c r="H35" s="89" t="s">
        <v>184</v>
      </c>
      <c r="I35" s="89" t="s">
        <v>8</v>
      </c>
      <c r="J35" s="94">
        <v>0.85</v>
      </c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</row>
    <row r="36" spans="1:27" ht="15.75" customHeight="1" x14ac:dyDescent="0.2">
      <c r="A36" s="89" t="s">
        <v>193</v>
      </c>
      <c r="B36" s="89" t="s">
        <v>121</v>
      </c>
      <c r="C36" s="89" t="s">
        <v>122</v>
      </c>
      <c r="D36" s="89" t="s">
        <v>138</v>
      </c>
      <c r="E36" s="89" t="s">
        <v>129</v>
      </c>
      <c r="F36" s="91">
        <v>44641</v>
      </c>
      <c r="G36" s="90"/>
      <c r="H36" s="89" t="s">
        <v>153</v>
      </c>
      <c r="I36" s="89" t="s">
        <v>8</v>
      </c>
      <c r="J36" s="92">
        <v>1</v>
      </c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</row>
    <row r="37" spans="1:27" ht="15.75" customHeight="1" x14ac:dyDescent="0.2">
      <c r="A37" s="89" t="s">
        <v>66</v>
      </c>
      <c r="B37" s="89" t="s">
        <v>121</v>
      </c>
      <c r="C37" s="89" t="s">
        <v>122</v>
      </c>
      <c r="D37" s="89" t="s">
        <v>148</v>
      </c>
      <c r="E37" s="89" t="s">
        <v>129</v>
      </c>
      <c r="F37" s="91">
        <v>44851</v>
      </c>
      <c r="G37" s="90"/>
      <c r="H37" s="89" t="s">
        <v>194</v>
      </c>
      <c r="I37" s="89" t="s">
        <v>8</v>
      </c>
      <c r="J37" s="94">
        <v>0.71</v>
      </c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</row>
    <row r="38" spans="1:27" ht="15.75" customHeight="1" x14ac:dyDescent="0.2">
      <c r="A38" s="89" t="s">
        <v>195</v>
      </c>
      <c r="B38" s="89" t="s">
        <v>126</v>
      </c>
      <c r="C38" s="89" t="s">
        <v>147</v>
      </c>
      <c r="D38" s="89" t="s">
        <v>196</v>
      </c>
      <c r="E38" s="89" t="s">
        <v>145</v>
      </c>
      <c r="F38" s="91">
        <v>44370</v>
      </c>
      <c r="G38" s="91">
        <v>44985</v>
      </c>
      <c r="H38" s="89" t="s">
        <v>143</v>
      </c>
      <c r="I38" s="89" t="s">
        <v>38</v>
      </c>
      <c r="J38" s="94">
        <v>0.67</v>
      </c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</row>
    <row r="39" spans="1:27" ht="15.75" customHeight="1" x14ac:dyDescent="0.2">
      <c r="A39" s="89" t="s">
        <v>197</v>
      </c>
      <c r="B39" s="89" t="s">
        <v>121</v>
      </c>
      <c r="C39" s="89" t="s">
        <v>147</v>
      </c>
      <c r="D39" s="89" t="s">
        <v>172</v>
      </c>
      <c r="E39" s="89" t="s">
        <v>198</v>
      </c>
      <c r="F39" s="91">
        <v>44411</v>
      </c>
      <c r="G39" s="90"/>
      <c r="H39" s="89" t="s">
        <v>140</v>
      </c>
      <c r="I39" s="89" t="s">
        <v>38</v>
      </c>
      <c r="J39" s="92">
        <v>1</v>
      </c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</row>
    <row r="40" spans="1:27" ht="15.75" customHeight="1" x14ac:dyDescent="0.2">
      <c r="A40" s="89" t="s">
        <v>199</v>
      </c>
      <c r="B40" s="89" t="s">
        <v>121</v>
      </c>
      <c r="C40" s="89" t="s">
        <v>168</v>
      </c>
      <c r="D40" s="89" t="s">
        <v>138</v>
      </c>
      <c r="E40" s="89" t="s">
        <v>129</v>
      </c>
      <c r="F40" s="91">
        <v>45299</v>
      </c>
      <c r="G40" s="90"/>
      <c r="H40" s="89" t="s">
        <v>200</v>
      </c>
      <c r="I40" s="89" t="s">
        <v>8</v>
      </c>
      <c r="J40" s="92">
        <v>0</v>
      </c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</row>
    <row r="41" spans="1:27" ht="15.75" customHeight="1" x14ac:dyDescent="0.2">
      <c r="A41" s="89" t="s">
        <v>201</v>
      </c>
      <c r="B41" s="89" t="s">
        <v>126</v>
      </c>
      <c r="C41" s="89" t="s">
        <v>202</v>
      </c>
      <c r="D41" s="89" t="s">
        <v>196</v>
      </c>
      <c r="E41" s="89" t="s">
        <v>123</v>
      </c>
      <c r="F41" s="91">
        <v>43282</v>
      </c>
      <c r="G41" s="91">
        <v>44999</v>
      </c>
      <c r="H41" s="89" t="s">
        <v>203</v>
      </c>
      <c r="I41" s="89" t="s">
        <v>8</v>
      </c>
      <c r="J41" s="94">
        <v>0.7</v>
      </c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</row>
    <row r="42" spans="1:27" ht="15.75" customHeight="1" x14ac:dyDescent="0.2">
      <c r="A42" s="89" t="s">
        <v>204</v>
      </c>
      <c r="B42" s="89" t="s">
        <v>126</v>
      </c>
      <c r="C42" s="89" t="s">
        <v>147</v>
      </c>
      <c r="D42" s="89" t="s">
        <v>28</v>
      </c>
      <c r="E42" s="89" t="s">
        <v>145</v>
      </c>
      <c r="F42" s="91">
        <v>44208</v>
      </c>
      <c r="G42" s="91">
        <v>45156</v>
      </c>
      <c r="H42" s="89" t="s">
        <v>205</v>
      </c>
      <c r="I42" s="89" t="s">
        <v>38</v>
      </c>
      <c r="J42" s="92">
        <v>0.5</v>
      </c>
      <c r="K42" s="90"/>
      <c r="L42" s="95" t="s">
        <v>206</v>
      </c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</row>
    <row r="43" spans="1:27" ht="15.75" customHeight="1" x14ac:dyDescent="0.2">
      <c r="A43" s="89" t="s">
        <v>207</v>
      </c>
      <c r="B43" s="89" t="s">
        <v>126</v>
      </c>
      <c r="C43" s="89" t="s">
        <v>127</v>
      </c>
      <c r="D43" s="89" t="s">
        <v>138</v>
      </c>
      <c r="E43" s="89" t="s">
        <v>129</v>
      </c>
      <c r="F43" s="91">
        <v>44809</v>
      </c>
      <c r="G43" s="91">
        <v>44971</v>
      </c>
      <c r="H43" s="89" t="s">
        <v>208</v>
      </c>
      <c r="I43" s="89" t="s">
        <v>38</v>
      </c>
      <c r="J43" s="94">
        <v>0.63</v>
      </c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</row>
    <row r="44" spans="1:27" ht="15.75" customHeight="1" x14ac:dyDescent="0.2">
      <c r="A44" s="89" t="s">
        <v>39</v>
      </c>
      <c r="B44" s="89" t="s">
        <v>121</v>
      </c>
      <c r="C44" s="89" t="s">
        <v>202</v>
      </c>
      <c r="D44" s="89" t="s">
        <v>148</v>
      </c>
      <c r="E44" s="89" t="s">
        <v>129</v>
      </c>
      <c r="F44" s="91">
        <v>43282</v>
      </c>
      <c r="G44" s="90"/>
      <c r="H44" s="89" t="s">
        <v>169</v>
      </c>
      <c r="I44" s="89" t="s">
        <v>8</v>
      </c>
      <c r="J44" s="92">
        <v>1</v>
      </c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</row>
    <row r="45" spans="1:27" ht="15.75" customHeight="1" x14ac:dyDescent="0.2">
      <c r="A45" s="89" t="s">
        <v>48</v>
      </c>
      <c r="B45" s="89" t="s">
        <v>121</v>
      </c>
      <c r="C45" s="89" t="s">
        <v>209</v>
      </c>
      <c r="D45" s="89" t="s">
        <v>148</v>
      </c>
      <c r="E45" s="89" t="s">
        <v>123</v>
      </c>
      <c r="F45" s="91">
        <v>43129</v>
      </c>
      <c r="G45" s="90"/>
      <c r="H45" s="89" t="s">
        <v>210</v>
      </c>
      <c r="I45" s="89" t="s">
        <v>8</v>
      </c>
      <c r="J45" s="92">
        <v>1</v>
      </c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</row>
    <row r="46" spans="1:27" ht="15.75" customHeight="1" x14ac:dyDescent="0.2">
      <c r="A46" s="89" t="s">
        <v>211</v>
      </c>
      <c r="B46" s="89" t="s">
        <v>126</v>
      </c>
      <c r="C46" s="89" t="s">
        <v>127</v>
      </c>
      <c r="D46" s="89" t="s">
        <v>160</v>
      </c>
      <c r="E46" s="89" t="s">
        <v>129</v>
      </c>
      <c r="F46" s="91">
        <v>43871</v>
      </c>
      <c r="G46" s="91">
        <v>44771</v>
      </c>
      <c r="H46" s="89" t="s">
        <v>212</v>
      </c>
      <c r="I46" s="89" t="s">
        <v>38</v>
      </c>
      <c r="J46" s="94">
        <v>0.08</v>
      </c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</row>
    <row r="47" spans="1:27" ht="15.75" customHeight="1" x14ac:dyDescent="0.2">
      <c r="A47" s="89" t="s">
        <v>213</v>
      </c>
      <c r="B47" s="89" t="s">
        <v>121</v>
      </c>
      <c r="C47" s="89" t="s">
        <v>122</v>
      </c>
      <c r="D47" s="89" t="s">
        <v>172</v>
      </c>
      <c r="E47" s="89" t="s">
        <v>123</v>
      </c>
      <c r="F47" s="91">
        <v>44778</v>
      </c>
      <c r="G47" s="90"/>
      <c r="H47" s="89" t="s">
        <v>214</v>
      </c>
      <c r="I47" s="89" t="s">
        <v>8</v>
      </c>
      <c r="J47" s="94">
        <v>0.9</v>
      </c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</row>
    <row r="48" spans="1:27" ht="15.75" customHeight="1" x14ac:dyDescent="0.2">
      <c r="A48" s="89" t="s">
        <v>215</v>
      </c>
      <c r="B48" s="89" t="s">
        <v>121</v>
      </c>
      <c r="C48" s="89" t="s">
        <v>147</v>
      </c>
      <c r="D48" s="89" t="s">
        <v>148</v>
      </c>
      <c r="E48" s="89" t="s">
        <v>123</v>
      </c>
      <c r="F48" s="91">
        <v>44014</v>
      </c>
      <c r="G48" s="90"/>
      <c r="H48" s="89" t="s">
        <v>216</v>
      </c>
      <c r="I48" s="89" t="s">
        <v>38</v>
      </c>
      <c r="J48" s="92">
        <v>1</v>
      </c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</row>
    <row r="49" spans="1:27" ht="15.75" customHeight="1" x14ac:dyDescent="0.2">
      <c r="A49" s="89" t="s">
        <v>217</v>
      </c>
      <c r="B49" s="89" t="s">
        <v>121</v>
      </c>
      <c r="C49" s="89" t="s">
        <v>137</v>
      </c>
      <c r="D49" s="89" t="s">
        <v>144</v>
      </c>
      <c r="E49" s="89" t="s">
        <v>145</v>
      </c>
      <c r="F49" s="91">
        <v>41821</v>
      </c>
      <c r="G49" s="90"/>
      <c r="H49" s="89" t="s">
        <v>218</v>
      </c>
      <c r="I49" s="89" t="s">
        <v>38</v>
      </c>
      <c r="J49" s="92">
        <v>1</v>
      </c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</row>
    <row r="50" spans="1:27" ht="15.75" customHeight="1" x14ac:dyDescent="0.2">
      <c r="A50" s="89" t="s">
        <v>40</v>
      </c>
      <c r="B50" s="89" t="s">
        <v>121</v>
      </c>
      <c r="C50" s="89" t="s">
        <v>154</v>
      </c>
      <c r="D50" s="89" t="s">
        <v>148</v>
      </c>
      <c r="E50" s="89" t="s">
        <v>123</v>
      </c>
      <c r="F50" s="91">
        <v>42401</v>
      </c>
      <c r="G50" s="90"/>
      <c r="H50" s="89" t="s">
        <v>155</v>
      </c>
      <c r="I50" s="89" t="s">
        <v>8</v>
      </c>
      <c r="J50" s="92">
        <v>1</v>
      </c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</row>
    <row r="51" spans="1:27" ht="15.75" customHeight="1" x14ac:dyDescent="0.2">
      <c r="A51" s="89" t="s">
        <v>219</v>
      </c>
      <c r="B51" s="89" t="s">
        <v>121</v>
      </c>
      <c r="C51" s="89" t="s">
        <v>127</v>
      </c>
      <c r="D51" s="89" t="s">
        <v>128</v>
      </c>
      <c r="E51" s="89" t="s">
        <v>145</v>
      </c>
      <c r="F51" s="91">
        <v>45313</v>
      </c>
      <c r="G51" s="90"/>
      <c r="H51" s="89" t="s">
        <v>200</v>
      </c>
      <c r="I51" s="89" t="s">
        <v>38</v>
      </c>
      <c r="J51" s="92">
        <v>0</v>
      </c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</row>
    <row r="52" spans="1:27" ht="15.75" customHeight="1" x14ac:dyDescent="0.2">
      <c r="A52" s="89" t="s">
        <v>54</v>
      </c>
      <c r="B52" s="89" t="s">
        <v>121</v>
      </c>
      <c r="C52" s="89" t="s">
        <v>191</v>
      </c>
      <c r="D52" s="89" t="s">
        <v>144</v>
      </c>
      <c r="E52" s="89" t="s">
        <v>198</v>
      </c>
      <c r="F52" s="91">
        <v>41091</v>
      </c>
      <c r="G52" s="90"/>
      <c r="H52" s="89" t="s">
        <v>220</v>
      </c>
      <c r="I52" s="89" t="s">
        <v>8</v>
      </c>
      <c r="J52" s="92">
        <v>1</v>
      </c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</row>
    <row r="53" spans="1:27" ht="15.75" customHeight="1" x14ac:dyDescent="0.2">
      <c r="A53" s="89" t="s">
        <v>221</v>
      </c>
      <c r="B53" s="89" t="s">
        <v>121</v>
      </c>
      <c r="C53" s="89" t="s">
        <v>147</v>
      </c>
      <c r="D53" s="89" t="s">
        <v>148</v>
      </c>
      <c r="E53" s="89" t="s">
        <v>123</v>
      </c>
      <c r="F53" s="91">
        <v>42709</v>
      </c>
      <c r="G53" s="90"/>
      <c r="H53" s="89" t="s">
        <v>222</v>
      </c>
      <c r="I53" s="89" t="s">
        <v>38</v>
      </c>
      <c r="J53" s="92">
        <v>1</v>
      </c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</row>
    <row r="54" spans="1:27" ht="15.75" customHeight="1" x14ac:dyDescent="0.2">
      <c r="A54" s="89" t="s">
        <v>223</v>
      </c>
      <c r="B54" s="89" t="s">
        <v>126</v>
      </c>
      <c r="C54" s="89" t="s">
        <v>127</v>
      </c>
      <c r="D54" s="89" t="s">
        <v>138</v>
      </c>
      <c r="E54" s="89" t="s">
        <v>129</v>
      </c>
      <c r="F54" s="91">
        <v>44438</v>
      </c>
      <c r="G54" s="91">
        <v>44771</v>
      </c>
      <c r="H54" s="89" t="s">
        <v>182</v>
      </c>
      <c r="I54" s="89" t="s">
        <v>38</v>
      </c>
      <c r="J54" s="92">
        <v>0.08</v>
      </c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  <c r="AA54" s="90"/>
    </row>
    <row r="55" spans="1:27" ht="15.75" customHeight="1" x14ac:dyDescent="0.2">
      <c r="A55" s="89" t="s">
        <v>224</v>
      </c>
      <c r="B55" s="89" t="s">
        <v>126</v>
      </c>
      <c r="C55" s="89" t="s">
        <v>127</v>
      </c>
      <c r="D55" s="89" t="s">
        <v>138</v>
      </c>
      <c r="E55" s="89" t="s">
        <v>129</v>
      </c>
      <c r="F55" s="91">
        <v>44809</v>
      </c>
      <c r="G55" s="91">
        <v>44918</v>
      </c>
      <c r="H55" s="89" t="s">
        <v>200</v>
      </c>
      <c r="I55" s="89" t="s">
        <v>38</v>
      </c>
      <c r="J55" s="94">
        <v>0.48</v>
      </c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</row>
    <row r="56" spans="1:27" ht="15.75" customHeight="1" x14ac:dyDescent="0.2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</row>
    <row r="57" spans="1:27" ht="15.75" customHeight="1" x14ac:dyDescent="0.2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</row>
    <row r="58" spans="1:27" ht="15.75" customHeight="1" x14ac:dyDescent="0.2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</row>
    <row r="59" spans="1:27" ht="15.75" customHeight="1" x14ac:dyDescent="0.2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</row>
    <row r="60" spans="1:27" ht="15.75" customHeight="1" x14ac:dyDescent="0.2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</row>
    <row r="61" spans="1:27" ht="15.75" customHeight="1" x14ac:dyDescent="0.2">
      <c r="A61" s="96" t="s">
        <v>225</v>
      </c>
      <c r="B61" s="96" t="s">
        <v>226</v>
      </c>
      <c r="C61" s="97">
        <v>43107</v>
      </c>
      <c r="D61" s="96" t="s">
        <v>227</v>
      </c>
      <c r="E61" s="96" t="s">
        <v>228</v>
      </c>
      <c r="F61" s="96" t="s">
        <v>229</v>
      </c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</row>
    <row r="62" spans="1:27" ht="15.75" customHeight="1" x14ac:dyDescent="0.2">
      <c r="A62" s="96" t="s">
        <v>230</v>
      </c>
      <c r="B62" s="96" t="s">
        <v>231</v>
      </c>
      <c r="C62" s="96" t="s">
        <v>232</v>
      </c>
      <c r="D62" s="96" t="s">
        <v>227</v>
      </c>
      <c r="E62" s="96" t="s">
        <v>233</v>
      </c>
      <c r="F62" s="96" t="s">
        <v>229</v>
      </c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</row>
    <row r="63" spans="1:27" ht="15.75" customHeight="1" x14ac:dyDescent="0.2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</row>
    <row r="64" spans="1:27" ht="15.75" customHeight="1" x14ac:dyDescent="0.2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</row>
    <row r="65" spans="1:27" ht="15.75" customHeight="1" x14ac:dyDescent="0.2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</row>
    <row r="66" spans="1:27" ht="15.75" customHeight="1" x14ac:dyDescent="0.2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</row>
    <row r="67" spans="1:27" ht="15.75" customHeight="1" x14ac:dyDescent="0.2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</row>
    <row r="68" spans="1:27" ht="15.75" customHeight="1" x14ac:dyDescent="0.2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</row>
    <row r="69" spans="1:27" ht="15.75" customHeight="1" x14ac:dyDescent="0.2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</row>
    <row r="70" spans="1:27" ht="15.75" customHeight="1" x14ac:dyDescent="0.2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</row>
    <row r="71" spans="1:27" ht="15.75" customHeight="1" x14ac:dyDescent="0.2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</row>
    <row r="72" spans="1:27" ht="15.75" customHeight="1" x14ac:dyDescent="0.2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</row>
    <row r="73" spans="1:27" ht="15.75" customHeight="1" x14ac:dyDescent="0.2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</row>
    <row r="74" spans="1:27" ht="15.75" customHeight="1" x14ac:dyDescent="0.2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</row>
    <row r="75" spans="1:27" ht="15.75" customHeight="1" x14ac:dyDescent="0.2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</row>
    <row r="76" spans="1:27" ht="15.75" customHeight="1" x14ac:dyDescent="0.2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</row>
    <row r="77" spans="1:27" ht="15.75" customHeight="1" x14ac:dyDescent="0.2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</row>
    <row r="78" spans="1:27" ht="15.75" customHeight="1" x14ac:dyDescent="0.2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</row>
    <row r="79" spans="1:27" ht="15.75" customHeight="1" x14ac:dyDescent="0.2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</row>
    <row r="80" spans="1:27" ht="15.75" customHeight="1" x14ac:dyDescent="0.2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</row>
    <row r="81" spans="1:27" ht="15.75" customHeight="1" x14ac:dyDescent="0.2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</row>
    <row r="82" spans="1:27" ht="15.75" customHeight="1" x14ac:dyDescent="0.2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</row>
    <row r="83" spans="1:27" ht="15.75" customHeight="1" x14ac:dyDescent="0.2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</row>
    <row r="84" spans="1:27" ht="15.75" customHeight="1" x14ac:dyDescent="0.2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</row>
    <row r="85" spans="1:27" ht="15.75" customHeight="1" x14ac:dyDescent="0.2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</row>
    <row r="86" spans="1:27" ht="15.75" customHeight="1" x14ac:dyDescent="0.2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</row>
    <row r="87" spans="1:27" ht="15.75" customHeight="1" x14ac:dyDescent="0.2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</row>
    <row r="88" spans="1:27" ht="15.75" customHeight="1" x14ac:dyDescent="0.2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</row>
    <row r="89" spans="1:27" ht="15.75" customHeight="1" x14ac:dyDescent="0.2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</row>
    <row r="90" spans="1:27" ht="15.75" customHeight="1" x14ac:dyDescent="0.2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</row>
    <row r="91" spans="1:27" ht="15.75" customHeight="1" x14ac:dyDescent="0.2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</row>
    <row r="92" spans="1:27" ht="15.75" customHeight="1" x14ac:dyDescent="0.2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</row>
    <row r="93" spans="1:27" ht="15.75" customHeight="1" x14ac:dyDescent="0.2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</row>
    <row r="94" spans="1:27" ht="15.75" customHeight="1" x14ac:dyDescent="0.2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</row>
    <row r="95" spans="1:27" ht="15.75" customHeight="1" x14ac:dyDescent="0.2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</row>
    <row r="96" spans="1:27" ht="15.75" customHeight="1" x14ac:dyDescent="0.2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</row>
    <row r="97" spans="1:27" ht="15.75" customHeight="1" x14ac:dyDescent="0.2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</row>
    <row r="98" spans="1:27" ht="15.75" customHeight="1" x14ac:dyDescent="0.2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</row>
    <row r="99" spans="1:27" ht="15.75" customHeight="1" x14ac:dyDescent="0.2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</row>
    <row r="100" spans="1:27" ht="15.75" customHeight="1" x14ac:dyDescent="0.2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</row>
    <row r="101" spans="1:27" ht="15.75" customHeight="1" x14ac:dyDescent="0.2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</row>
    <row r="102" spans="1:27" ht="15.75" customHeight="1" x14ac:dyDescent="0.2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</row>
    <row r="103" spans="1:27" ht="15.75" customHeight="1" x14ac:dyDescent="0.2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</row>
    <row r="104" spans="1:27" ht="15.75" customHeight="1" x14ac:dyDescent="0.2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</row>
    <row r="105" spans="1:27" ht="15.75" customHeight="1" x14ac:dyDescent="0.2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</row>
    <row r="106" spans="1:27" ht="15.75" customHeight="1" x14ac:dyDescent="0.2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</row>
    <row r="107" spans="1:27" ht="15.75" customHeight="1" x14ac:dyDescent="0.2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</row>
    <row r="108" spans="1:27" ht="15.75" customHeight="1" x14ac:dyDescent="0.2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</row>
    <row r="109" spans="1:27" ht="15.75" customHeight="1" x14ac:dyDescent="0.2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</row>
    <row r="110" spans="1:27" ht="15.75" customHeight="1" x14ac:dyDescent="0.2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</row>
    <row r="111" spans="1:27" ht="15.75" customHeight="1" x14ac:dyDescent="0.2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</row>
    <row r="112" spans="1:27" ht="15.75" customHeight="1" x14ac:dyDescent="0.2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</row>
    <row r="113" spans="1:27" ht="15.75" customHeight="1" x14ac:dyDescent="0.2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</row>
    <row r="114" spans="1:27" ht="15.75" customHeight="1" x14ac:dyDescent="0.2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</row>
    <row r="115" spans="1:27" ht="15.75" customHeight="1" x14ac:dyDescent="0.2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</row>
    <row r="116" spans="1:27" ht="15.75" customHeight="1" x14ac:dyDescent="0.2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</row>
    <row r="117" spans="1:27" ht="15.75" customHeight="1" x14ac:dyDescent="0.2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</row>
    <row r="118" spans="1:27" ht="15.75" customHeight="1" x14ac:dyDescent="0.2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</row>
    <row r="119" spans="1:27" ht="15.75" customHeight="1" x14ac:dyDescent="0.2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</row>
    <row r="120" spans="1:27" ht="15.75" customHeight="1" x14ac:dyDescent="0.2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</row>
    <row r="121" spans="1:27" ht="15.75" customHeight="1" x14ac:dyDescent="0.2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</row>
    <row r="122" spans="1:27" ht="15.75" customHeight="1" x14ac:dyDescent="0.2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</row>
    <row r="123" spans="1:27" ht="15.75" customHeight="1" x14ac:dyDescent="0.2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</row>
    <row r="124" spans="1:27" ht="15.75" customHeight="1" x14ac:dyDescent="0.2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</row>
    <row r="125" spans="1:27" ht="15.75" customHeight="1" x14ac:dyDescent="0.2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</row>
    <row r="126" spans="1:27" ht="15.75" customHeight="1" x14ac:dyDescent="0.2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</row>
    <row r="127" spans="1:27" ht="15.75" customHeight="1" x14ac:dyDescent="0.2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</row>
    <row r="128" spans="1:27" ht="15.75" customHeight="1" x14ac:dyDescent="0.2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</row>
    <row r="129" spans="1:27" ht="15.75" customHeight="1" x14ac:dyDescent="0.2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</row>
    <row r="130" spans="1:27" ht="15.75" customHeight="1" x14ac:dyDescent="0.2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</row>
    <row r="131" spans="1:27" ht="15.75" customHeight="1" x14ac:dyDescent="0.2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</row>
    <row r="132" spans="1:27" ht="15.75" customHeight="1" x14ac:dyDescent="0.2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</row>
    <row r="133" spans="1:27" ht="15.75" customHeight="1" x14ac:dyDescent="0.2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</row>
    <row r="134" spans="1:27" ht="15.75" customHeight="1" x14ac:dyDescent="0.2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</row>
    <row r="135" spans="1:27" ht="15.75" customHeight="1" x14ac:dyDescent="0.2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</row>
    <row r="136" spans="1:27" ht="15.75" customHeight="1" x14ac:dyDescent="0.2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</row>
    <row r="137" spans="1:27" ht="15.75" customHeight="1" x14ac:dyDescent="0.2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</row>
    <row r="138" spans="1:27" ht="15.75" customHeight="1" x14ac:dyDescent="0.2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</row>
    <row r="139" spans="1:27" ht="15.75" customHeight="1" x14ac:dyDescent="0.2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</row>
    <row r="140" spans="1:27" ht="15.75" customHeight="1" x14ac:dyDescent="0.2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</row>
    <row r="141" spans="1:27" ht="15.75" customHeight="1" x14ac:dyDescent="0.2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</row>
    <row r="142" spans="1:27" ht="15.75" customHeight="1" x14ac:dyDescent="0.2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</row>
    <row r="143" spans="1:27" ht="15.75" customHeight="1" x14ac:dyDescent="0.2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</row>
    <row r="144" spans="1:27" ht="15.75" customHeight="1" x14ac:dyDescent="0.2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</row>
    <row r="145" spans="1:27" ht="15.75" customHeight="1" x14ac:dyDescent="0.2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</row>
    <row r="146" spans="1:27" ht="15.75" customHeight="1" x14ac:dyDescent="0.2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</row>
    <row r="147" spans="1:27" ht="15.75" customHeight="1" x14ac:dyDescent="0.2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</row>
    <row r="148" spans="1:27" ht="15.75" customHeight="1" x14ac:dyDescent="0.2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</row>
    <row r="149" spans="1:27" ht="15.75" customHeight="1" x14ac:dyDescent="0.2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</row>
    <row r="150" spans="1:27" ht="15.75" customHeight="1" x14ac:dyDescent="0.2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</row>
    <row r="151" spans="1:27" ht="15.75" customHeight="1" x14ac:dyDescent="0.2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</row>
    <row r="152" spans="1:27" ht="15.75" customHeight="1" x14ac:dyDescent="0.2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</row>
    <row r="153" spans="1:27" ht="15.75" customHeight="1" x14ac:dyDescent="0.2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</row>
    <row r="154" spans="1:27" ht="15.75" customHeight="1" x14ac:dyDescent="0.2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</row>
    <row r="155" spans="1:27" ht="15.75" customHeight="1" x14ac:dyDescent="0.2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</row>
    <row r="156" spans="1:27" ht="15.75" customHeight="1" x14ac:dyDescent="0.2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</row>
    <row r="157" spans="1:27" ht="15.75" customHeight="1" x14ac:dyDescent="0.2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</row>
    <row r="158" spans="1:27" ht="15.75" customHeight="1" x14ac:dyDescent="0.2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</row>
    <row r="159" spans="1:27" ht="15.75" customHeight="1" x14ac:dyDescent="0.2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</row>
    <row r="160" spans="1:27" ht="15.75" customHeight="1" x14ac:dyDescent="0.2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</row>
    <row r="161" spans="1:27" ht="15.75" customHeight="1" x14ac:dyDescent="0.2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</row>
    <row r="162" spans="1:27" ht="15.75" customHeight="1" x14ac:dyDescent="0.2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</row>
    <row r="163" spans="1:27" ht="15.75" customHeight="1" x14ac:dyDescent="0.2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</row>
    <row r="164" spans="1:27" ht="15.75" customHeight="1" x14ac:dyDescent="0.2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</row>
    <row r="165" spans="1:27" ht="15.75" customHeight="1" x14ac:dyDescent="0.2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</row>
    <row r="166" spans="1:27" ht="15.75" customHeight="1" x14ac:dyDescent="0.2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</row>
    <row r="167" spans="1:27" ht="15.75" customHeight="1" x14ac:dyDescent="0.2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</row>
    <row r="168" spans="1:27" ht="15.75" customHeight="1" x14ac:dyDescent="0.2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</row>
    <row r="169" spans="1:27" ht="15.75" customHeight="1" x14ac:dyDescent="0.2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</row>
    <row r="170" spans="1:27" ht="15.75" customHeight="1" x14ac:dyDescent="0.2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</row>
    <row r="171" spans="1:27" ht="15.75" customHeight="1" x14ac:dyDescent="0.2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</row>
    <row r="172" spans="1:27" ht="15.75" customHeight="1" x14ac:dyDescent="0.2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</row>
    <row r="173" spans="1:27" ht="15.75" customHeight="1" x14ac:dyDescent="0.2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</row>
    <row r="174" spans="1:27" ht="15.75" customHeight="1" x14ac:dyDescent="0.2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</row>
    <row r="175" spans="1:27" ht="15.75" customHeight="1" x14ac:dyDescent="0.2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</row>
    <row r="176" spans="1:27" ht="15.75" customHeight="1" x14ac:dyDescent="0.2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</row>
    <row r="177" spans="1:27" ht="15.75" customHeight="1" x14ac:dyDescent="0.2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</row>
    <row r="178" spans="1:27" ht="15.75" customHeight="1" x14ac:dyDescent="0.2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</row>
    <row r="179" spans="1:27" ht="15.75" customHeight="1" x14ac:dyDescent="0.2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</row>
    <row r="180" spans="1:27" ht="15.75" customHeight="1" x14ac:dyDescent="0.2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</row>
    <row r="181" spans="1:27" ht="15.75" customHeight="1" x14ac:dyDescent="0.2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</row>
    <row r="182" spans="1:27" ht="15.75" customHeight="1" x14ac:dyDescent="0.2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</row>
    <row r="183" spans="1:27" ht="15.75" customHeight="1" x14ac:dyDescent="0.2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</row>
    <row r="184" spans="1:27" ht="15.75" customHeight="1" x14ac:dyDescent="0.2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</row>
    <row r="185" spans="1:27" ht="15.75" customHeight="1" x14ac:dyDescent="0.2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</row>
    <row r="186" spans="1:27" ht="15.75" customHeight="1" x14ac:dyDescent="0.2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</row>
    <row r="187" spans="1:27" ht="15.75" customHeight="1" x14ac:dyDescent="0.2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</row>
    <row r="188" spans="1:27" ht="15.75" customHeight="1" x14ac:dyDescent="0.2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</row>
    <row r="189" spans="1:27" ht="15.75" customHeight="1" x14ac:dyDescent="0.2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</row>
    <row r="190" spans="1:27" ht="15.75" customHeight="1" x14ac:dyDescent="0.2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</row>
    <row r="191" spans="1:27" ht="15.75" customHeight="1" x14ac:dyDescent="0.2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</row>
    <row r="192" spans="1:27" ht="15.75" customHeight="1" x14ac:dyDescent="0.2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</row>
    <row r="193" spans="1:27" ht="15.75" customHeight="1" x14ac:dyDescent="0.2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</row>
    <row r="194" spans="1:27" ht="15.75" customHeight="1" x14ac:dyDescent="0.2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</row>
    <row r="195" spans="1:27" ht="15.75" customHeight="1" x14ac:dyDescent="0.2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</row>
    <row r="196" spans="1:27" ht="15.75" customHeight="1" x14ac:dyDescent="0.2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</row>
    <row r="197" spans="1:27" ht="15.75" customHeight="1" x14ac:dyDescent="0.2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</row>
    <row r="198" spans="1:27" ht="15.75" customHeight="1" x14ac:dyDescent="0.2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</row>
    <row r="199" spans="1:27" ht="15.75" customHeight="1" x14ac:dyDescent="0.2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</row>
    <row r="200" spans="1:27" ht="15.75" customHeight="1" x14ac:dyDescent="0.2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</row>
    <row r="201" spans="1:27" ht="15.75" customHeight="1" x14ac:dyDescent="0.2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</row>
    <row r="202" spans="1:27" ht="15.75" customHeight="1" x14ac:dyDescent="0.2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</row>
    <row r="203" spans="1:27" ht="15.75" customHeight="1" x14ac:dyDescent="0.2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</row>
    <row r="204" spans="1:27" ht="15.75" customHeight="1" x14ac:dyDescent="0.2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</row>
    <row r="205" spans="1:27" ht="15.75" customHeight="1" x14ac:dyDescent="0.2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</row>
    <row r="206" spans="1:27" ht="15.75" customHeight="1" x14ac:dyDescent="0.2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</row>
    <row r="207" spans="1:27" ht="15.75" customHeight="1" x14ac:dyDescent="0.2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</row>
    <row r="208" spans="1:27" ht="15.75" customHeight="1" x14ac:dyDescent="0.2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</row>
    <row r="209" spans="1:27" ht="15.75" customHeight="1" x14ac:dyDescent="0.2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</row>
    <row r="210" spans="1:27" ht="15.75" customHeight="1" x14ac:dyDescent="0.2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</row>
    <row r="211" spans="1:27" ht="15.75" customHeight="1" x14ac:dyDescent="0.2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</row>
    <row r="212" spans="1:27" ht="15.75" customHeight="1" x14ac:dyDescent="0.2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</row>
    <row r="213" spans="1:27" ht="15.75" customHeight="1" x14ac:dyDescent="0.2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</row>
    <row r="214" spans="1:27" ht="15.75" customHeight="1" x14ac:dyDescent="0.2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</row>
    <row r="215" spans="1:27" ht="15.75" customHeight="1" x14ac:dyDescent="0.2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</row>
    <row r="216" spans="1:27" ht="15.75" customHeight="1" x14ac:dyDescent="0.2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</row>
    <row r="217" spans="1:27" ht="15.75" customHeight="1" x14ac:dyDescent="0.2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</row>
    <row r="218" spans="1:27" ht="15.75" customHeight="1" x14ac:dyDescent="0.2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</row>
    <row r="219" spans="1:27" ht="15.75" customHeight="1" x14ac:dyDescent="0.2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</row>
    <row r="220" spans="1:27" ht="15.75" customHeight="1" x14ac:dyDescent="0.2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</row>
    <row r="221" spans="1:27" ht="15.75" customHeight="1" x14ac:dyDescent="0.2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</row>
    <row r="222" spans="1:27" ht="15.75" customHeight="1" x14ac:dyDescent="0.2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</row>
    <row r="223" spans="1:27" ht="15.75" customHeight="1" x14ac:dyDescent="0.2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</row>
    <row r="224" spans="1:27" ht="15.75" customHeight="1" x14ac:dyDescent="0.2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</row>
    <row r="225" spans="1:27" ht="15.75" customHeight="1" x14ac:dyDescent="0.2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</row>
    <row r="226" spans="1:27" ht="15.75" customHeight="1" x14ac:dyDescent="0.2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</row>
    <row r="227" spans="1:27" ht="15.75" customHeight="1" x14ac:dyDescent="0.2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</row>
    <row r="228" spans="1:27" ht="15.75" customHeight="1" x14ac:dyDescent="0.2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</row>
    <row r="229" spans="1:27" ht="15.75" customHeight="1" x14ac:dyDescent="0.2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</row>
    <row r="230" spans="1:27" ht="15.75" customHeight="1" x14ac:dyDescent="0.2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</row>
    <row r="231" spans="1:27" ht="15.75" customHeight="1" x14ac:dyDescent="0.2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</row>
    <row r="232" spans="1:27" ht="15.75" customHeight="1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</row>
    <row r="233" spans="1:27" ht="15.75" customHeight="1" x14ac:dyDescent="0.2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</row>
    <row r="234" spans="1:27" ht="15.75" customHeight="1" x14ac:dyDescent="0.2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</row>
    <row r="235" spans="1:27" ht="15.75" customHeight="1" x14ac:dyDescent="0.2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</row>
    <row r="236" spans="1:27" ht="15.75" customHeight="1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</row>
    <row r="237" spans="1:27" ht="15.75" customHeight="1" x14ac:dyDescent="0.2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</row>
    <row r="238" spans="1:27" ht="15.75" customHeight="1" x14ac:dyDescent="0.2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</row>
    <row r="239" spans="1:27" ht="15.75" customHeight="1" x14ac:dyDescent="0.2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</row>
    <row r="240" spans="1:27" ht="15.75" customHeight="1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</row>
    <row r="241" spans="1:27" ht="15.75" customHeight="1" x14ac:dyDescent="0.2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</row>
    <row r="242" spans="1:27" ht="15.75" customHeight="1" x14ac:dyDescent="0.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</row>
    <row r="243" spans="1:27" ht="15.75" customHeight="1" x14ac:dyDescent="0.2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</row>
    <row r="244" spans="1:27" ht="15.75" customHeight="1" x14ac:dyDescent="0.2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</row>
    <row r="245" spans="1:27" ht="15.75" customHeight="1" x14ac:dyDescent="0.2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</row>
    <row r="246" spans="1:27" ht="15.75" customHeight="1" x14ac:dyDescent="0.2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</row>
    <row r="247" spans="1:27" ht="15.75" customHeight="1" x14ac:dyDescent="0.2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</row>
    <row r="248" spans="1:27" ht="15.75" customHeight="1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</row>
    <row r="249" spans="1:27" ht="15.75" customHeight="1" x14ac:dyDescent="0.2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</row>
    <row r="250" spans="1:27" ht="15.75" customHeight="1" x14ac:dyDescent="0.2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</row>
    <row r="251" spans="1:27" ht="15.75" customHeight="1" x14ac:dyDescent="0.2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</row>
    <row r="252" spans="1:27" ht="15.75" customHeight="1" x14ac:dyDescent="0.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</row>
    <row r="253" spans="1:27" ht="15.75" customHeight="1" x14ac:dyDescent="0.2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</row>
    <row r="254" spans="1:27" ht="15.75" customHeight="1" x14ac:dyDescent="0.2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</row>
    <row r="255" spans="1:27" ht="15.75" customHeight="1" x14ac:dyDescent="0.2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</row>
    <row r="256" spans="1:27" ht="15.75" customHeight="1" x14ac:dyDescent="0.2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</row>
    <row r="257" spans="1:27" ht="15.75" customHeight="1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</row>
    <row r="258" spans="1:27" ht="15.75" customHeight="1" x14ac:dyDescent="0.2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</row>
    <row r="259" spans="1:27" ht="15.75" customHeight="1" x14ac:dyDescent="0.2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</row>
    <row r="260" spans="1:27" ht="15.75" customHeight="1" x14ac:dyDescent="0.2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</row>
    <row r="261" spans="1:27" ht="15.75" customHeight="1" x14ac:dyDescent="0.2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</row>
    <row r="262" spans="1:27" ht="15.75" customHeight="1" x14ac:dyDescent="0.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</row>
    <row r="263" spans="1:27" ht="15.75" customHeight="1" x14ac:dyDescent="0.2"/>
    <row r="264" spans="1:27" ht="15.75" customHeight="1" x14ac:dyDescent="0.2"/>
    <row r="265" spans="1:27" ht="15.75" customHeight="1" x14ac:dyDescent="0.2"/>
    <row r="266" spans="1:27" ht="15.75" customHeight="1" x14ac:dyDescent="0.2"/>
    <row r="267" spans="1:27" ht="15.75" customHeight="1" x14ac:dyDescent="0.2"/>
    <row r="268" spans="1:27" ht="15.75" customHeight="1" x14ac:dyDescent="0.2"/>
    <row r="269" spans="1:27" ht="15.75" customHeight="1" x14ac:dyDescent="0.2"/>
    <row r="270" spans="1:27" ht="15.75" customHeight="1" x14ac:dyDescent="0.2"/>
    <row r="271" spans="1:27" ht="15.75" customHeight="1" x14ac:dyDescent="0.2"/>
    <row r="272" spans="1:27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9DF0-A0C0-394D-8695-D9AA5CD1176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M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ColWidth="14.5" defaultRowHeight="15" customHeight="1" x14ac:dyDescent="0.2"/>
  <cols>
    <col min="1" max="1" width="3.83203125" hidden="1" customWidth="1"/>
    <col min="2" max="2" width="34.83203125" customWidth="1"/>
    <col min="3" max="3" width="35.6640625" customWidth="1"/>
    <col min="4" max="15" width="8.83203125" customWidth="1"/>
    <col min="16" max="16" width="10.5" customWidth="1"/>
    <col min="17" max="39" width="8.6640625" customWidth="1"/>
  </cols>
  <sheetData>
    <row r="1" spans="1:39" ht="12.75" customHeight="1" x14ac:dyDescent="0.2">
      <c r="A1" s="95"/>
      <c r="B1" s="98" t="s">
        <v>0</v>
      </c>
      <c r="C1" s="99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</row>
    <row r="2" spans="1:39" ht="12.75" customHeight="1" x14ac:dyDescent="0.2">
      <c r="A2" s="95"/>
      <c r="B2" s="100" t="s">
        <v>234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  <c r="AL2" s="95"/>
      <c r="AM2" s="95"/>
    </row>
    <row r="3" spans="1:39" ht="12.75" customHeight="1" x14ac:dyDescent="0.2">
      <c r="A3" s="95"/>
      <c r="B3" s="101" t="s">
        <v>2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</row>
    <row r="4" spans="1:39" ht="12.75" customHeight="1" x14ac:dyDescent="0.2">
      <c r="A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</row>
    <row r="5" spans="1:39" ht="15" customHeight="1" x14ac:dyDescent="0.2">
      <c r="A5" s="95"/>
      <c r="C5" s="102" t="s">
        <v>235</v>
      </c>
      <c r="D5" s="103"/>
      <c r="E5" s="10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</row>
    <row r="6" spans="1:39" ht="15.75" customHeight="1" x14ac:dyDescent="0.2">
      <c r="A6" s="95"/>
      <c r="B6" s="105"/>
      <c r="C6" s="241" t="s">
        <v>236</v>
      </c>
      <c r="D6" s="230"/>
      <c r="E6" s="231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</row>
    <row r="7" spans="1:39" ht="12.75" customHeight="1" x14ac:dyDescent="0.2">
      <c r="A7" s="95"/>
      <c r="B7" s="105"/>
      <c r="C7" s="242" t="s">
        <v>237</v>
      </c>
      <c r="D7" s="233"/>
      <c r="E7" s="234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</row>
    <row r="8" spans="1:39" ht="12.75" customHeight="1" x14ac:dyDescent="0.2">
      <c r="A8" s="95"/>
      <c r="B8" s="105"/>
      <c r="C8" s="7"/>
      <c r="D8" s="95"/>
      <c r="E8" s="95"/>
      <c r="F8" s="95"/>
      <c r="G8" s="95" t="s">
        <v>238</v>
      </c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spans="1:39" ht="12.75" customHeight="1" x14ac:dyDescent="0.2">
      <c r="A9" s="95"/>
      <c r="B9" s="106" t="s">
        <v>239</v>
      </c>
      <c r="C9" s="107"/>
      <c r="D9" s="108">
        <v>42917</v>
      </c>
      <c r="E9" s="108">
        <v>42948</v>
      </c>
      <c r="F9" s="108">
        <v>42979</v>
      </c>
      <c r="G9" s="108">
        <v>43009</v>
      </c>
      <c r="H9" s="108">
        <v>43040</v>
      </c>
      <c r="I9" s="108">
        <v>43070</v>
      </c>
      <c r="J9" s="108">
        <v>43101</v>
      </c>
      <c r="K9" s="108">
        <v>43132</v>
      </c>
      <c r="L9" s="108">
        <v>43160</v>
      </c>
      <c r="M9" s="108">
        <v>43191</v>
      </c>
      <c r="N9" s="108">
        <v>43221</v>
      </c>
      <c r="O9" s="109">
        <v>43252</v>
      </c>
      <c r="P9" s="110">
        <v>43282</v>
      </c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</row>
    <row r="10" spans="1:39" ht="12.75" customHeight="1" x14ac:dyDescent="0.2">
      <c r="A10" s="95"/>
      <c r="B10" s="111" t="s">
        <v>54</v>
      </c>
      <c r="C10" s="36" t="s">
        <v>9</v>
      </c>
      <c r="D10" s="112">
        <v>0.15</v>
      </c>
      <c r="E10" s="112">
        <v>0.15</v>
      </c>
      <c r="F10" s="113">
        <v>0.15</v>
      </c>
      <c r="G10" s="112">
        <v>0.15</v>
      </c>
      <c r="H10" s="114">
        <v>0.15</v>
      </c>
      <c r="I10" s="115">
        <v>0.15</v>
      </c>
      <c r="J10" s="112">
        <v>0.15</v>
      </c>
      <c r="K10" s="114">
        <v>0.15</v>
      </c>
      <c r="L10" s="115">
        <v>0.15</v>
      </c>
      <c r="M10" s="112">
        <v>0.25</v>
      </c>
      <c r="N10" s="114">
        <v>0.25</v>
      </c>
      <c r="O10" s="115">
        <v>0.25</v>
      </c>
      <c r="P10" s="116">
        <f t="shared" ref="P10:P34" si="0">AVERAGE(D10:O10)</f>
        <v>0.17499999999999996</v>
      </c>
      <c r="Q10" s="95">
        <v>175000</v>
      </c>
      <c r="R10" s="95">
        <f>Q10</f>
        <v>175000</v>
      </c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</row>
    <row r="11" spans="1:39" ht="12.75" customHeight="1" x14ac:dyDescent="0.2">
      <c r="A11" s="95"/>
      <c r="B11" s="19" t="s">
        <v>240</v>
      </c>
      <c r="C11" s="20" t="s">
        <v>11</v>
      </c>
      <c r="D11" s="117">
        <v>0.2</v>
      </c>
      <c r="E11" s="117">
        <v>0.2</v>
      </c>
      <c r="F11" s="118">
        <v>0.2</v>
      </c>
      <c r="G11" s="117">
        <v>0.15</v>
      </c>
      <c r="H11" s="119">
        <v>0.15</v>
      </c>
      <c r="I11" s="120">
        <v>0.15</v>
      </c>
      <c r="J11" s="117">
        <v>0.15</v>
      </c>
      <c r="K11" s="119">
        <v>0.15</v>
      </c>
      <c r="L11" s="120">
        <v>0.15</v>
      </c>
      <c r="M11" s="117">
        <v>0.05</v>
      </c>
      <c r="N11" s="119">
        <v>0.2</v>
      </c>
      <c r="O11" s="120">
        <v>0.2</v>
      </c>
      <c r="P11" s="121">
        <f t="shared" si="0"/>
        <v>0.16249999999999998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</row>
    <row r="12" spans="1:39" ht="12.75" customHeight="1" x14ac:dyDescent="0.2">
      <c r="A12" s="95"/>
      <c r="B12" s="122"/>
      <c r="C12" s="20" t="s">
        <v>12</v>
      </c>
      <c r="D12" s="117">
        <v>0.25</v>
      </c>
      <c r="E12" s="117">
        <v>0.25</v>
      </c>
      <c r="F12" s="118">
        <v>0.25</v>
      </c>
      <c r="G12" s="123">
        <v>0.25</v>
      </c>
      <c r="H12" s="124">
        <v>0.25</v>
      </c>
      <c r="I12" s="120">
        <v>0.25</v>
      </c>
      <c r="J12" s="123">
        <v>0.25</v>
      </c>
      <c r="K12" s="124">
        <v>0.25</v>
      </c>
      <c r="L12" s="120">
        <v>0.25</v>
      </c>
      <c r="M12" s="123">
        <v>0.15</v>
      </c>
      <c r="N12" s="124">
        <v>0.15</v>
      </c>
      <c r="O12" s="120">
        <v>0.15</v>
      </c>
      <c r="P12" s="121">
        <f t="shared" si="0"/>
        <v>0.22499999999999998</v>
      </c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</row>
    <row r="13" spans="1:39" ht="12.75" customHeight="1" x14ac:dyDescent="0.2">
      <c r="A13" s="95"/>
      <c r="B13" s="122"/>
      <c r="C13" s="20" t="s">
        <v>13</v>
      </c>
      <c r="D13" s="117">
        <v>0.1</v>
      </c>
      <c r="E13" s="117">
        <v>0.1</v>
      </c>
      <c r="F13" s="118">
        <v>0.1</v>
      </c>
      <c r="G13" s="123">
        <v>0.1</v>
      </c>
      <c r="H13" s="124">
        <v>0.1</v>
      </c>
      <c r="I13" s="120">
        <v>0.1</v>
      </c>
      <c r="J13" s="123">
        <v>0.1</v>
      </c>
      <c r="K13" s="124">
        <v>0.1</v>
      </c>
      <c r="L13" s="120">
        <v>0.1</v>
      </c>
      <c r="M13" s="123">
        <v>0.1</v>
      </c>
      <c r="N13" s="124">
        <v>0.1</v>
      </c>
      <c r="O13" s="120">
        <v>0.1</v>
      </c>
      <c r="P13" s="121">
        <f t="shared" si="0"/>
        <v>9.9999999999999992E-2</v>
      </c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</row>
    <row r="14" spans="1:39" ht="12.75" customHeight="1" x14ac:dyDescent="0.2">
      <c r="A14" s="95"/>
      <c r="B14" s="122"/>
      <c r="C14" s="20" t="s">
        <v>14</v>
      </c>
      <c r="D14" s="117">
        <v>0</v>
      </c>
      <c r="E14" s="117">
        <v>0</v>
      </c>
      <c r="F14" s="118">
        <v>0</v>
      </c>
      <c r="G14" s="123">
        <v>0</v>
      </c>
      <c r="H14" s="124">
        <v>0</v>
      </c>
      <c r="I14" s="120">
        <v>0</v>
      </c>
      <c r="J14" s="123">
        <v>0</v>
      </c>
      <c r="K14" s="124">
        <v>0</v>
      </c>
      <c r="L14" s="120">
        <v>0</v>
      </c>
      <c r="M14" s="123">
        <v>0</v>
      </c>
      <c r="N14" s="124">
        <v>0</v>
      </c>
      <c r="O14" s="120">
        <v>0</v>
      </c>
      <c r="P14" s="121">
        <f t="shared" si="0"/>
        <v>0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</row>
    <row r="15" spans="1:39" ht="12.75" customHeight="1" x14ac:dyDescent="0.2">
      <c r="A15" s="95"/>
      <c r="B15" s="122"/>
      <c r="C15" s="20" t="s">
        <v>15</v>
      </c>
      <c r="D15" s="117">
        <v>0</v>
      </c>
      <c r="E15" s="117">
        <v>0</v>
      </c>
      <c r="F15" s="118">
        <v>0</v>
      </c>
      <c r="G15" s="123">
        <v>0</v>
      </c>
      <c r="H15" s="124">
        <v>0</v>
      </c>
      <c r="I15" s="120">
        <v>0</v>
      </c>
      <c r="J15" s="123">
        <v>0</v>
      </c>
      <c r="K15" s="124">
        <v>0</v>
      </c>
      <c r="L15" s="120">
        <v>0</v>
      </c>
      <c r="M15" s="123">
        <v>0</v>
      </c>
      <c r="N15" s="124">
        <v>0</v>
      </c>
      <c r="O15" s="120">
        <v>0</v>
      </c>
      <c r="P15" s="121">
        <f t="shared" si="0"/>
        <v>0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</row>
    <row r="16" spans="1:39" ht="12.75" customHeight="1" x14ac:dyDescent="0.2">
      <c r="A16" s="95"/>
      <c r="B16" s="122"/>
      <c r="C16" s="20" t="s">
        <v>16</v>
      </c>
      <c r="D16" s="117">
        <v>0.05</v>
      </c>
      <c r="E16" s="117">
        <v>0.05</v>
      </c>
      <c r="F16" s="118">
        <v>0.05</v>
      </c>
      <c r="G16" s="123">
        <v>0.05</v>
      </c>
      <c r="H16" s="124">
        <v>0.05</v>
      </c>
      <c r="I16" s="120">
        <v>0.05</v>
      </c>
      <c r="J16" s="123">
        <v>0.05</v>
      </c>
      <c r="K16" s="124">
        <v>0.05</v>
      </c>
      <c r="L16" s="120">
        <v>0.05</v>
      </c>
      <c r="M16" s="123">
        <v>0.05</v>
      </c>
      <c r="N16" s="124">
        <v>0.05</v>
      </c>
      <c r="O16" s="120">
        <v>0.05</v>
      </c>
      <c r="P16" s="121">
        <f t="shared" si="0"/>
        <v>4.9999999999999996E-2</v>
      </c>
      <c r="Q16" s="95"/>
      <c r="R16" s="95">
        <f>SUM(D10:O16)/12</f>
        <v>0.71250000000000036</v>
      </c>
      <c r="S16" s="95">
        <f>R16*R10</f>
        <v>124687.50000000006</v>
      </c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</row>
    <row r="17" spans="1:39" ht="12.75" customHeight="1" x14ac:dyDescent="0.2">
      <c r="A17" s="125"/>
      <c r="B17" s="126"/>
      <c r="C17" s="28" t="s">
        <v>17</v>
      </c>
      <c r="D17" s="127">
        <v>0.25</v>
      </c>
      <c r="E17" s="127">
        <v>0.25</v>
      </c>
      <c r="F17" s="127">
        <v>0.25</v>
      </c>
      <c r="G17" s="127">
        <v>0.3</v>
      </c>
      <c r="H17" s="127">
        <v>0.3</v>
      </c>
      <c r="I17" s="127">
        <v>0.3</v>
      </c>
      <c r="J17" s="127">
        <v>0.3</v>
      </c>
      <c r="K17" s="127">
        <v>0.3</v>
      </c>
      <c r="L17" s="127">
        <v>0.3</v>
      </c>
      <c r="M17" s="127">
        <v>0.4</v>
      </c>
      <c r="N17" s="127">
        <v>0.25</v>
      </c>
      <c r="O17" s="128">
        <v>0.25</v>
      </c>
      <c r="P17" s="129">
        <f t="shared" si="0"/>
        <v>0.28749999999999998</v>
      </c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</row>
    <row r="18" spans="1:39" ht="12.75" customHeight="1" x14ac:dyDescent="0.2">
      <c r="A18" s="95"/>
      <c r="B18" s="130" t="str">
        <f>B10</f>
        <v>Wes Sonnenreich</v>
      </c>
      <c r="C18" s="131" t="s">
        <v>241</v>
      </c>
      <c r="D18" s="132">
        <f t="shared" ref="D18:O18" si="1">SUM(D10:D17)</f>
        <v>1</v>
      </c>
      <c r="E18" s="132">
        <f t="shared" si="1"/>
        <v>1</v>
      </c>
      <c r="F18" s="132">
        <f t="shared" si="1"/>
        <v>1</v>
      </c>
      <c r="G18" s="132">
        <f t="shared" si="1"/>
        <v>1</v>
      </c>
      <c r="H18" s="132">
        <f t="shared" si="1"/>
        <v>1</v>
      </c>
      <c r="I18" s="132">
        <f t="shared" si="1"/>
        <v>1</v>
      </c>
      <c r="J18" s="132">
        <f t="shared" si="1"/>
        <v>1</v>
      </c>
      <c r="K18" s="132">
        <f t="shared" si="1"/>
        <v>1</v>
      </c>
      <c r="L18" s="132">
        <f t="shared" si="1"/>
        <v>1</v>
      </c>
      <c r="M18" s="132">
        <f t="shared" si="1"/>
        <v>1</v>
      </c>
      <c r="N18" s="132">
        <f t="shared" si="1"/>
        <v>1</v>
      </c>
      <c r="O18" s="132">
        <f t="shared" si="1"/>
        <v>1</v>
      </c>
      <c r="P18" s="133">
        <f t="shared" si="0"/>
        <v>1</v>
      </c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</row>
    <row r="19" spans="1:39" ht="12.75" customHeight="1" x14ac:dyDescent="0.2">
      <c r="A19" s="95"/>
      <c r="B19" s="111" t="s">
        <v>242</v>
      </c>
      <c r="C19" s="36" t="s">
        <v>9</v>
      </c>
      <c r="D19" s="134">
        <v>0.1</v>
      </c>
      <c r="E19" s="134">
        <v>0.1</v>
      </c>
      <c r="F19" s="134">
        <v>0.1</v>
      </c>
      <c r="G19" s="134">
        <v>0.1</v>
      </c>
      <c r="H19" s="134">
        <v>0.1</v>
      </c>
      <c r="I19" s="134">
        <v>0.1</v>
      </c>
      <c r="J19" s="134">
        <v>0.1</v>
      </c>
      <c r="K19" s="134">
        <v>0.1</v>
      </c>
      <c r="L19" s="134">
        <v>0.1</v>
      </c>
      <c r="M19" s="134">
        <v>0.1</v>
      </c>
      <c r="N19" s="134">
        <v>0.1</v>
      </c>
      <c r="O19" s="134">
        <v>0.1</v>
      </c>
      <c r="P19" s="116">
        <f t="shared" si="0"/>
        <v>9.9999999999999992E-2</v>
      </c>
      <c r="Q19" s="95"/>
      <c r="R19" s="95">
        <v>116492</v>
      </c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</row>
    <row r="20" spans="1:39" ht="12.75" customHeight="1" x14ac:dyDescent="0.2">
      <c r="A20" s="95"/>
      <c r="B20" s="135" t="s">
        <v>243</v>
      </c>
      <c r="C20" s="20" t="s">
        <v>11</v>
      </c>
      <c r="D20" s="136">
        <v>0.5</v>
      </c>
      <c r="E20" s="136">
        <v>0.5</v>
      </c>
      <c r="F20" s="136">
        <v>0.5</v>
      </c>
      <c r="G20" s="136">
        <v>0.5</v>
      </c>
      <c r="H20" s="136">
        <v>0.5</v>
      </c>
      <c r="I20" s="136">
        <v>0.5</v>
      </c>
      <c r="J20" s="136">
        <v>0.5</v>
      </c>
      <c r="K20" s="136">
        <v>0.5</v>
      </c>
      <c r="L20" s="136">
        <v>0.5</v>
      </c>
      <c r="M20" s="136">
        <v>0.5</v>
      </c>
      <c r="N20" s="136">
        <v>0.5</v>
      </c>
      <c r="O20" s="136">
        <v>0.5</v>
      </c>
      <c r="P20" s="121">
        <f t="shared" si="0"/>
        <v>0.5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</row>
    <row r="21" spans="1:39" ht="12.75" customHeight="1" x14ac:dyDescent="0.2">
      <c r="A21" s="95"/>
      <c r="B21" s="137"/>
      <c r="C21" s="20" t="s">
        <v>12</v>
      </c>
      <c r="D21" s="136">
        <v>0.05</v>
      </c>
      <c r="E21" s="136">
        <v>0.05</v>
      </c>
      <c r="F21" s="136">
        <v>0.05</v>
      </c>
      <c r="G21" s="136">
        <v>0.05</v>
      </c>
      <c r="H21" s="136">
        <v>0.05</v>
      </c>
      <c r="I21" s="136">
        <v>0.05</v>
      </c>
      <c r="J21" s="136">
        <v>0.05</v>
      </c>
      <c r="K21" s="136">
        <v>0.05</v>
      </c>
      <c r="L21" s="136">
        <v>0.05</v>
      </c>
      <c r="M21" s="136">
        <v>0.05</v>
      </c>
      <c r="N21" s="136">
        <v>0.05</v>
      </c>
      <c r="O21" s="136">
        <v>0.05</v>
      </c>
      <c r="P21" s="121">
        <f t="shared" si="0"/>
        <v>4.9999999999999996E-2</v>
      </c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</row>
    <row r="22" spans="1:39" ht="12.75" customHeight="1" x14ac:dyDescent="0.2">
      <c r="A22" s="95"/>
      <c r="B22" s="137"/>
      <c r="C22" s="20" t="s">
        <v>13</v>
      </c>
      <c r="D22" s="136">
        <v>0</v>
      </c>
      <c r="E22" s="136">
        <v>0</v>
      </c>
      <c r="F22" s="136">
        <v>0</v>
      </c>
      <c r="G22" s="136">
        <v>0</v>
      </c>
      <c r="H22" s="136">
        <v>0</v>
      </c>
      <c r="I22" s="136">
        <v>0</v>
      </c>
      <c r="J22" s="136">
        <v>0</v>
      </c>
      <c r="K22" s="136">
        <v>0</v>
      </c>
      <c r="L22" s="136">
        <v>0</v>
      </c>
      <c r="M22" s="136">
        <v>0</v>
      </c>
      <c r="N22" s="136">
        <v>0</v>
      </c>
      <c r="O22" s="136">
        <v>0</v>
      </c>
      <c r="P22" s="121">
        <f t="shared" si="0"/>
        <v>0</v>
      </c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</row>
    <row r="23" spans="1:39" ht="12.75" customHeight="1" x14ac:dyDescent="0.2">
      <c r="A23" s="95"/>
      <c r="B23" s="122"/>
      <c r="C23" s="20" t="s">
        <v>14</v>
      </c>
      <c r="D23" s="136">
        <v>0.05</v>
      </c>
      <c r="E23" s="136">
        <v>0.05</v>
      </c>
      <c r="F23" s="136">
        <v>0.05</v>
      </c>
      <c r="G23" s="136">
        <v>0.05</v>
      </c>
      <c r="H23" s="136">
        <v>0.05</v>
      </c>
      <c r="I23" s="136">
        <v>0.05</v>
      </c>
      <c r="J23" s="136">
        <v>0.05</v>
      </c>
      <c r="K23" s="136">
        <v>0.05</v>
      </c>
      <c r="L23" s="136">
        <v>0.05</v>
      </c>
      <c r="M23" s="136">
        <v>0.05</v>
      </c>
      <c r="N23" s="136">
        <v>0.05</v>
      </c>
      <c r="O23" s="136">
        <v>0.05</v>
      </c>
      <c r="P23" s="121">
        <f t="shared" si="0"/>
        <v>4.9999999999999996E-2</v>
      </c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</row>
    <row r="24" spans="1:39" ht="12.75" customHeight="1" x14ac:dyDescent="0.2">
      <c r="A24" s="95"/>
      <c r="B24" s="122"/>
      <c r="C24" s="20" t="s">
        <v>15</v>
      </c>
      <c r="D24" s="136">
        <v>0</v>
      </c>
      <c r="E24" s="136">
        <v>0</v>
      </c>
      <c r="F24" s="136">
        <v>0</v>
      </c>
      <c r="G24" s="136">
        <v>0</v>
      </c>
      <c r="H24" s="136">
        <v>0</v>
      </c>
      <c r="I24" s="136">
        <v>0</v>
      </c>
      <c r="J24" s="136">
        <v>0</v>
      </c>
      <c r="K24" s="136">
        <v>0</v>
      </c>
      <c r="L24" s="136">
        <v>0</v>
      </c>
      <c r="M24" s="136">
        <v>0</v>
      </c>
      <c r="N24" s="136">
        <v>0</v>
      </c>
      <c r="O24" s="136">
        <v>0</v>
      </c>
      <c r="P24" s="121">
        <f t="shared" si="0"/>
        <v>0</v>
      </c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</row>
    <row r="25" spans="1:39" ht="12.75" customHeight="1" x14ac:dyDescent="0.2">
      <c r="A25" s="95"/>
      <c r="B25" s="122"/>
      <c r="C25" s="20" t="s">
        <v>16</v>
      </c>
      <c r="D25" s="136">
        <v>0.1</v>
      </c>
      <c r="E25" s="136">
        <v>0.1</v>
      </c>
      <c r="F25" s="136">
        <v>0.1</v>
      </c>
      <c r="G25" s="136">
        <v>0.1</v>
      </c>
      <c r="H25" s="136">
        <v>0.1</v>
      </c>
      <c r="I25" s="136">
        <v>0.1</v>
      </c>
      <c r="J25" s="136">
        <v>0.1</v>
      </c>
      <c r="K25" s="136">
        <v>0.1</v>
      </c>
      <c r="L25" s="136">
        <v>0.1</v>
      </c>
      <c r="M25" s="136">
        <v>0.1</v>
      </c>
      <c r="N25" s="136">
        <v>0.1</v>
      </c>
      <c r="O25" s="136">
        <v>0.1</v>
      </c>
      <c r="P25" s="121">
        <f t="shared" si="0"/>
        <v>9.9999999999999992E-2</v>
      </c>
      <c r="Q25" s="95"/>
      <c r="R25" s="95">
        <f>SUM(D19:O25)/12</f>
        <v>0.79999999999999982</v>
      </c>
      <c r="S25" s="95">
        <f>R25*R19</f>
        <v>93193.599999999977</v>
      </c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</row>
    <row r="26" spans="1:39" ht="12.75" customHeight="1" x14ac:dyDescent="0.2">
      <c r="A26" s="125"/>
      <c r="B26" s="126"/>
      <c r="C26" s="28" t="s">
        <v>17</v>
      </c>
      <c r="D26" s="127">
        <v>0.2</v>
      </c>
      <c r="E26" s="127">
        <v>0.2</v>
      </c>
      <c r="F26" s="127">
        <v>0.2</v>
      </c>
      <c r="G26" s="127">
        <v>0.2</v>
      </c>
      <c r="H26" s="127">
        <v>0.2</v>
      </c>
      <c r="I26" s="127">
        <v>0.2</v>
      </c>
      <c r="J26" s="127">
        <v>0.2</v>
      </c>
      <c r="K26" s="127">
        <v>0.2</v>
      </c>
      <c r="L26" s="127">
        <v>0.2</v>
      </c>
      <c r="M26" s="127">
        <v>0.2</v>
      </c>
      <c r="N26" s="127">
        <v>0.2</v>
      </c>
      <c r="O26" s="127">
        <v>0.2</v>
      </c>
      <c r="P26" s="129">
        <f t="shared" si="0"/>
        <v>0.19999999999999998</v>
      </c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</row>
    <row r="27" spans="1:39" ht="12.75" customHeight="1" x14ac:dyDescent="0.2">
      <c r="A27" s="95"/>
      <c r="B27" s="138" t="s">
        <v>244</v>
      </c>
      <c r="C27" s="131" t="s">
        <v>241</v>
      </c>
      <c r="D27" s="132">
        <f t="shared" ref="D27:O27" si="2">SUM(D19:D26)</f>
        <v>1</v>
      </c>
      <c r="E27" s="132">
        <f t="shared" si="2"/>
        <v>1</v>
      </c>
      <c r="F27" s="132">
        <f t="shared" si="2"/>
        <v>1</v>
      </c>
      <c r="G27" s="132">
        <f t="shared" si="2"/>
        <v>1</v>
      </c>
      <c r="H27" s="132">
        <f t="shared" si="2"/>
        <v>1</v>
      </c>
      <c r="I27" s="132">
        <f t="shared" si="2"/>
        <v>1</v>
      </c>
      <c r="J27" s="132">
        <f t="shared" si="2"/>
        <v>1</v>
      </c>
      <c r="K27" s="132">
        <f t="shared" si="2"/>
        <v>1</v>
      </c>
      <c r="L27" s="132">
        <f t="shared" si="2"/>
        <v>1</v>
      </c>
      <c r="M27" s="132">
        <f t="shared" si="2"/>
        <v>1</v>
      </c>
      <c r="N27" s="132">
        <f t="shared" si="2"/>
        <v>1</v>
      </c>
      <c r="O27" s="132">
        <f t="shared" si="2"/>
        <v>1</v>
      </c>
      <c r="P27" s="133">
        <f t="shared" si="0"/>
        <v>1</v>
      </c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</row>
    <row r="28" spans="1:39" ht="12.75" customHeight="1" x14ac:dyDescent="0.2">
      <c r="A28" s="95"/>
      <c r="B28" s="111" t="s">
        <v>23</v>
      </c>
      <c r="C28" s="36" t="s">
        <v>9</v>
      </c>
      <c r="D28" s="113">
        <v>0</v>
      </c>
      <c r="E28" s="123"/>
      <c r="F28" s="123"/>
      <c r="G28" s="123"/>
      <c r="H28" s="123"/>
      <c r="I28" s="123"/>
      <c r="J28" s="123"/>
      <c r="K28" s="123"/>
      <c r="L28" s="123"/>
      <c r="M28" s="112"/>
      <c r="N28" s="112"/>
      <c r="O28" s="139"/>
      <c r="P28" s="116">
        <f t="shared" si="0"/>
        <v>0</v>
      </c>
      <c r="Q28" s="95">
        <v>93575</v>
      </c>
      <c r="R28" s="95">
        <f>Q28*1.095</f>
        <v>102464.625</v>
      </c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</row>
    <row r="29" spans="1:39" ht="12.75" customHeight="1" x14ac:dyDescent="0.2">
      <c r="A29" s="95"/>
      <c r="B29" s="19" t="s">
        <v>245</v>
      </c>
      <c r="C29" s="20" t="s">
        <v>11</v>
      </c>
      <c r="D29" s="120">
        <v>0.05</v>
      </c>
      <c r="E29" s="123">
        <v>0.05</v>
      </c>
      <c r="F29" s="123">
        <v>0.05</v>
      </c>
      <c r="G29" s="123">
        <v>0.05</v>
      </c>
      <c r="H29" s="123">
        <v>0.05</v>
      </c>
      <c r="I29" s="123">
        <v>0.05</v>
      </c>
      <c r="J29" s="123">
        <v>0.05</v>
      </c>
      <c r="K29" s="123">
        <v>0.05</v>
      </c>
      <c r="L29" s="123">
        <v>0.05</v>
      </c>
      <c r="M29" s="123">
        <v>0.05</v>
      </c>
      <c r="N29" s="123">
        <v>0.05</v>
      </c>
      <c r="O29" s="140">
        <v>0.05</v>
      </c>
      <c r="P29" s="121">
        <f t="shared" si="0"/>
        <v>4.9999999999999996E-2</v>
      </c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</row>
    <row r="30" spans="1:39" ht="12.75" customHeight="1" x14ac:dyDescent="0.2">
      <c r="A30" s="95"/>
      <c r="B30" s="122"/>
      <c r="C30" s="20" t="s">
        <v>12</v>
      </c>
      <c r="D30" s="120">
        <v>0.05</v>
      </c>
      <c r="E30" s="123">
        <v>0.05</v>
      </c>
      <c r="F30" s="123"/>
      <c r="G30" s="123"/>
      <c r="H30" s="123"/>
      <c r="I30" s="123"/>
      <c r="J30" s="123"/>
      <c r="K30" s="123"/>
      <c r="L30" s="123"/>
      <c r="M30" s="123"/>
      <c r="N30" s="123"/>
      <c r="O30" s="140"/>
      <c r="P30" s="121">
        <f t="shared" si="0"/>
        <v>0.05</v>
      </c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</row>
    <row r="31" spans="1:39" ht="12.75" customHeight="1" x14ac:dyDescent="0.2">
      <c r="A31" s="95"/>
      <c r="B31" s="122"/>
      <c r="C31" s="20" t="s">
        <v>13</v>
      </c>
      <c r="D31" s="120">
        <v>0.7</v>
      </c>
      <c r="E31" s="123">
        <v>0.75</v>
      </c>
      <c r="F31" s="123">
        <v>0.85</v>
      </c>
      <c r="G31" s="123">
        <v>0.85</v>
      </c>
      <c r="H31" s="123">
        <v>0.8</v>
      </c>
      <c r="I31" s="123">
        <v>0.85</v>
      </c>
      <c r="J31" s="123">
        <v>0.85</v>
      </c>
      <c r="K31" s="123">
        <v>0.8</v>
      </c>
      <c r="L31" s="123">
        <v>0.85</v>
      </c>
      <c r="M31" s="123">
        <v>0.85</v>
      </c>
      <c r="N31" s="123">
        <v>0.85</v>
      </c>
      <c r="O31" s="123">
        <v>0.8</v>
      </c>
      <c r="P31" s="121">
        <f t="shared" si="0"/>
        <v>0.81666666666666654</v>
      </c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</row>
    <row r="32" spans="1:39" ht="12.75" customHeight="1" x14ac:dyDescent="0.2">
      <c r="A32" s="95"/>
      <c r="B32" s="122"/>
      <c r="C32" s="20" t="s">
        <v>14</v>
      </c>
      <c r="D32" s="120">
        <v>0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40"/>
      <c r="P32" s="121">
        <f t="shared" si="0"/>
        <v>0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</row>
    <row r="33" spans="1:39" ht="12.75" customHeight="1" x14ac:dyDescent="0.2">
      <c r="A33" s="95"/>
      <c r="B33" s="122"/>
      <c r="C33" s="20" t="s">
        <v>15</v>
      </c>
      <c r="D33" s="120">
        <v>0</v>
      </c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40"/>
      <c r="P33" s="121">
        <f t="shared" si="0"/>
        <v>0</v>
      </c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</row>
    <row r="34" spans="1:39" ht="12.75" customHeight="1" x14ac:dyDescent="0.2">
      <c r="A34" s="95"/>
      <c r="B34" s="122"/>
      <c r="C34" s="20" t="s">
        <v>16</v>
      </c>
      <c r="D34" s="120">
        <v>0.05</v>
      </c>
      <c r="E34" s="123"/>
      <c r="F34" s="123"/>
      <c r="G34" s="123"/>
      <c r="H34" s="123">
        <v>0.05</v>
      </c>
      <c r="I34" s="123"/>
      <c r="J34" s="123"/>
      <c r="K34" s="123">
        <v>0.05</v>
      </c>
      <c r="L34" s="123"/>
      <c r="M34" s="123"/>
      <c r="N34" s="123"/>
      <c r="O34" s="140">
        <v>0.05</v>
      </c>
      <c r="P34" s="121">
        <f t="shared" si="0"/>
        <v>0.05</v>
      </c>
      <c r="Q34" s="95"/>
      <c r="R34" s="95">
        <f>SUM(D28:O34)/12</f>
        <v>0.89166666666666694</v>
      </c>
      <c r="S34" s="95">
        <f>R34*R28</f>
        <v>91364.290625000023</v>
      </c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</row>
    <row r="35" spans="1:39" ht="12.75" customHeight="1" x14ac:dyDescent="0.2">
      <c r="A35" s="125"/>
      <c r="B35" s="126"/>
      <c r="C35" s="28" t="s">
        <v>17</v>
      </c>
      <c r="D35" s="127">
        <v>0.1</v>
      </c>
      <c r="E35" s="127">
        <v>0.15</v>
      </c>
      <c r="F35" s="127">
        <v>0.1</v>
      </c>
      <c r="G35" s="127">
        <v>0.1</v>
      </c>
      <c r="H35" s="127">
        <v>0.1</v>
      </c>
      <c r="I35" s="127">
        <v>0.1</v>
      </c>
      <c r="J35" s="127">
        <v>0.1</v>
      </c>
      <c r="K35" s="127">
        <v>0.1</v>
      </c>
      <c r="L35" s="127">
        <v>0.1</v>
      </c>
      <c r="M35" s="127">
        <v>0.1</v>
      </c>
      <c r="N35" s="127">
        <v>0.1</v>
      </c>
      <c r="O35" s="128">
        <v>0.1</v>
      </c>
      <c r="P35" s="129"/>
      <c r="Q35" s="95" t="s">
        <v>246</v>
      </c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</row>
    <row r="36" spans="1:39" ht="12.75" customHeight="1" x14ac:dyDescent="0.2">
      <c r="A36" s="95"/>
      <c r="B36" s="141" t="str">
        <f>B28</f>
        <v>Beenish Sami</v>
      </c>
      <c r="C36" s="131" t="s">
        <v>241</v>
      </c>
      <c r="D36" s="132">
        <f t="shared" ref="D36:O36" si="3">SUM(D28:D35)</f>
        <v>0.95</v>
      </c>
      <c r="E36" s="132">
        <f t="shared" si="3"/>
        <v>1</v>
      </c>
      <c r="F36" s="132">
        <f t="shared" si="3"/>
        <v>1</v>
      </c>
      <c r="G36" s="132">
        <f t="shared" si="3"/>
        <v>1</v>
      </c>
      <c r="H36" s="132">
        <f t="shared" si="3"/>
        <v>1.0000000000000002</v>
      </c>
      <c r="I36" s="132">
        <f t="shared" si="3"/>
        <v>1</v>
      </c>
      <c r="J36" s="132">
        <f t="shared" si="3"/>
        <v>1</v>
      </c>
      <c r="K36" s="132">
        <f t="shared" si="3"/>
        <v>1.0000000000000002</v>
      </c>
      <c r="L36" s="132">
        <f t="shared" si="3"/>
        <v>1</v>
      </c>
      <c r="M36" s="132">
        <f t="shared" si="3"/>
        <v>1</v>
      </c>
      <c r="N36" s="132">
        <f t="shared" si="3"/>
        <v>1</v>
      </c>
      <c r="O36" s="132">
        <f t="shared" si="3"/>
        <v>1.0000000000000002</v>
      </c>
      <c r="P36" s="133">
        <f t="shared" ref="P36:P53" si="4">AVERAGE(D36:O36)</f>
        <v>0.99583333333333324</v>
      </c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</row>
    <row r="37" spans="1:39" ht="12.75" customHeight="1" x14ac:dyDescent="0.2">
      <c r="A37" s="95"/>
      <c r="B37" s="142" t="s">
        <v>247</v>
      </c>
      <c r="C37" s="13" t="s">
        <v>9</v>
      </c>
      <c r="D37" s="120">
        <v>0</v>
      </c>
      <c r="E37" s="143"/>
      <c r="F37" s="143"/>
      <c r="G37" s="143"/>
      <c r="H37" s="144"/>
      <c r="I37" s="144"/>
      <c r="J37" s="144"/>
      <c r="K37" s="144"/>
      <c r="L37" s="123"/>
      <c r="M37" s="123"/>
      <c r="N37" s="123"/>
      <c r="O37" s="140"/>
      <c r="P37" s="145">
        <f t="shared" si="4"/>
        <v>0</v>
      </c>
      <c r="Q37" s="95"/>
      <c r="R37" s="95">
        <v>76879</v>
      </c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</row>
    <row r="38" spans="1:39" ht="12.75" customHeight="1" x14ac:dyDescent="0.2">
      <c r="A38" s="95"/>
      <c r="B38" s="19" t="s">
        <v>34</v>
      </c>
      <c r="C38" s="20" t="s">
        <v>11</v>
      </c>
      <c r="D38" s="120">
        <v>0</v>
      </c>
      <c r="E38" s="143"/>
      <c r="F38" s="143"/>
      <c r="G38" s="143"/>
      <c r="H38" s="144"/>
      <c r="I38" s="144"/>
      <c r="J38" s="144"/>
      <c r="K38" s="144"/>
      <c r="L38" s="123"/>
      <c r="M38" s="123"/>
      <c r="N38" s="123"/>
      <c r="O38" s="140"/>
      <c r="P38" s="121">
        <f t="shared" si="4"/>
        <v>0</v>
      </c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</row>
    <row r="39" spans="1:39" ht="12.75" customHeight="1" x14ac:dyDescent="0.2">
      <c r="A39" s="95"/>
      <c r="B39" s="122"/>
      <c r="C39" s="20" t="s">
        <v>12</v>
      </c>
      <c r="D39" s="120">
        <v>0.05</v>
      </c>
      <c r="E39" s="143">
        <v>0.05</v>
      </c>
      <c r="F39" s="143">
        <v>0.05</v>
      </c>
      <c r="G39" s="143">
        <v>0.05</v>
      </c>
      <c r="H39" s="143">
        <v>0.05</v>
      </c>
      <c r="I39" s="143">
        <v>0.05</v>
      </c>
      <c r="J39" s="143">
        <v>0.05</v>
      </c>
      <c r="K39" s="143">
        <v>0.05</v>
      </c>
      <c r="L39" s="143">
        <v>0.05</v>
      </c>
      <c r="M39" s="143">
        <v>0.05</v>
      </c>
      <c r="N39" s="143">
        <v>0.05</v>
      </c>
      <c r="O39" s="143">
        <v>0.05</v>
      </c>
      <c r="P39" s="121">
        <f t="shared" si="4"/>
        <v>4.9999999999999996E-2</v>
      </c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  <c r="AL39" s="95"/>
      <c r="AM39" s="95"/>
    </row>
    <row r="40" spans="1:39" ht="12.75" customHeight="1" x14ac:dyDescent="0.2">
      <c r="A40" s="95"/>
      <c r="B40" s="122"/>
      <c r="C40" s="20" t="s">
        <v>13</v>
      </c>
      <c r="D40" s="120">
        <v>0.7</v>
      </c>
      <c r="E40" s="143">
        <v>0.75</v>
      </c>
      <c r="F40" s="143">
        <v>0.75</v>
      </c>
      <c r="G40" s="143">
        <v>0.75</v>
      </c>
      <c r="H40" s="143">
        <v>0.75</v>
      </c>
      <c r="I40" s="143">
        <v>0.75</v>
      </c>
      <c r="J40" s="143">
        <v>0.75</v>
      </c>
      <c r="K40" s="143">
        <v>0.75</v>
      </c>
      <c r="L40" s="143">
        <v>0.75</v>
      </c>
      <c r="M40" s="143">
        <v>0.75</v>
      </c>
      <c r="N40" s="143">
        <v>0.75</v>
      </c>
      <c r="O40" s="143">
        <v>0.75</v>
      </c>
      <c r="P40" s="121">
        <f t="shared" si="4"/>
        <v>0.74583333333333324</v>
      </c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</row>
    <row r="41" spans="1:39" ht="12.75" customHeight="1" x14ac:dyDescent="0.2">
      <c r="A41" s="95"/>
      <c r="B41" s="122"/>
      <c r="C41" s="20" t="s">
        <v>14</v>
      </c>
      <c r="D41" s="120">
        <v>0</v>
      </c>
      <c r="E41" s="143"/>
      <c r="F41" s="143"/>
      <c r="G41" s="143"/>
      <c r="H41" s="144"/>
      <c r="I41" s="144"/>
      <c r="J41" s="144"/>
      <c r="K41" s="144"/>
      <c r="L41" s="123"/>
      <c r="M41" s="123"/>
      <c r="N41" s="123"/>
      <c r="O41" s="140"/>
      <c r="P41" s="121">
        <f t="shared" si="4"/>
        <v>0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  <c r="AL41" s="95"/>
      <c r="AM41" s="95"/>
    </row>
    <row r="42" spans="1:39" ht="12.75" customHeight="1" x14ac:dyDescent="0.2">
      <c r="A42" s="95"/>
      <c r="B42" s="122"/>
      <c r="C42" s="20" t="s">
        <v>15</v>
      </c>
      <c r="D42" s="120">
        <v>0.05</v>
      </c>
      <c r="E42" s="143">
        <v>0.1</v>
      </c>
      <c r="F42" s="143">
        <v>0.1</v>
      </c>
      <c r="G42" s="143">
        <v>0.15</v>
      </c>
      <c r="H42" s="144">
        <v>0.15</v>
      </c>
      <c r="I42" s="144">
        <v>0.15</v>
      </c>
      <c r="J42" s="144">
        <v>0.15</v>
      </c>
      <c r="K42" s="144">
        <v>0.15</v>
      </c>
      <c r="L42" s="123">
        <v>0.15</v>
      </c>
      <c r="M42" s="123">
        <v>0.15</v>
      </c>
      <c r="N42" s="123">
        <v>0.15</v>
      </c>
      <c r="O42" s="123">
        <v>0.15</v>
      </c>
      <c r="P42" s="121">
        <f t="shared" si="4"/>
        <v>0.1333333333333333</v>
      </c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</row>
    <row r="43" spans="1:39" ht="12.75" customHeight="1" x14ac:dyDescent="0.2">
      <c r="A43" s="95"/>
      <c r="B43" s="122"/>
      <c r="C43" s="20" t="s">
        <v>16</v>
      </c>
      <c r="D43" s="120">
        <v>0</v>
      </c>
      <c r="E43" s="143"/>
      <c r="F43" s="143"/>
      <c r="G43" s="143"/>
      <c r="H43" s="144"/>
      <c r="I43" s="144"/>
      <c r="J43" s="144"/>
      <c r="K43" s="144"/>
      <c r="L43" s="123"/>
      <c r="M43" s="123"/>
      <c r="N43" s="123"/>
      <c r="O43" s="140"/>
      <c r="P43" s="121">
        <f t="shared" si="4"/>
        <v>0</v>
      </c>
      <c r="Q43" s="95"/>
      <c r="R43" s="95">
        <f>SUM(D37:O43)/12</f>
        <v>0.92916666666666703</v>
      </c>
      <c r="S43" s="95">
        <f>R43*R37</f>
        <v>71433.404166666689</v>
      </c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</row>
    <row r="44" spans="1:39" ht="12.75" customHeight="1" x14ac:dyDescent="0.2">
      <c r="A44" s="125"/>
      <c r="B44" s="126"/>
      <c r="C44" s="28" t="s">
        <v>17</v>
      </c>
      <c r="D44" s="127">
        <v>0.2</v>
      </c>
      <c r="E44" s="127">
        <v>0.1</v>
      </c>
      <c r="F44" s="127">
        <v>0.1</v>
      </c>
      <c r="G44" s="127">
        <v>0.05</v>
      </c>
      <c r="H44" s="127">
        <v>0.05</v>
      </c>
      <c r="I44" s="127">
        <v>0.05</v>
      </c>
      <c r="J44" s="127">
        <v>0.05</v>
      </c>
      <c r="K44" s="127">
        <v>0.05</v>
      </c>
      <c r="L44" s="127">
        <v>0.05</v>
      </c>
      <c r="M44" s="127">
        <v>0.05</v>
      </c>
      <c r="N44" s="127">
        <v>0.05</v>
      </c>
      <c r="O44" s="128">
        <v>0.05</v>
      </c>
      <c r="P44" s="129">
        <f t="shared" si="4"/>
        <v>7.0833333333333359E-2</v>
      </c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</row>
    <row r="45" spans="1:39" ht="12.75" customHeight="1" x14ac:dyDescent="0.2">
      <c r="A45" s="95"/>
      <c r="B45" s="146" t="str">
        <f>B37</f>
        <v>Zaw Htut</v>
      </c>
      <c r="C45" s="147" t="s">
        <v>241</v>
      </c>
      <c r="D45" s="148">
        <f t="shared" ref="D45:O45" si="5">SUM(D37:D44)</f>
        <v>1</v>
      </c>
      <c r="E45" s="148">
        <f t="shared" si="5"/>
        <v>1</v>
      </c>
      <c r="F45" s="148">
        <f t="shared" si="5"/>
        <v>1</v>
      </c>
      <c r="G45" s="148">
        <f t="shared" si="5"/>
        <v>1</v>
      </c>
      <c r="H45" s="148">
        <f t="shared" si="5"/>
        <v>1</v>
      </c>
      <c r="I45" s="148">
        <f t="shared" si="5"/>
        <v>1</v>
      </c>
      <c r="J45" s="148">
        <f t="shared" si="5"/>
        <v>1</v>
      </c>
      <c r="K45" s="148">
        <f t="shared" si="5"/>
        <v>1</v>
      </c>
      <c r="L45" s="148">
        <f t="shared" si="5"/>
        <v>1</v>
      </c>
      <c r="M45" s="148">
        <f t="shared" si="5"/>
        <v>1</v>
      </c>
      <c r="N45" s="148">
        <f t="shared" si="5"/>
        <v>1</v>
      </c>
      <c r="O45" s="148">
        <f t="shared" si="5"/>
        <v>1</v>
      </c>
      <c r="P45" s="129">
        <f t="shared" si="4"/>
        <v>1</v>
      </c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</row>
    <row r="46" spans="1:39" ht="12.75" customHeight="1" x14ac:dyDescent="0.2">
      <c r="A46" s="95"/>
      <c r="B46" s="111" t="s">
        <v>83</v>
      </c>
      <c r="C46" s="36" t="s">
        <v>9</v>
      </c>
      <c r="D46" s="113">
        <v>0</v>
      </c>
      <c r="E46" s="149"/>
      <c r="F46" s="149"/>
      <c r="G46" s="149"/>
      <c r="H46" s="150"/>
      <c r="I46" s="150"/>
      <c r="J46" s="150"/>
      <c r="K46" s="150"/>
      <c r="L46" s="112"/>
      <c r="M46" s="112"/>
      <c r="N46" s="112"/>
      <c r="O46" s="139"/>
      <c r="P46" s="116">
        <f t="shared" si="4"/>
        <v>0</v>
      </c>
      <c r="Q46" s="95"/>
      <c r="R46" s="95">
        <v>71318</v>
      </c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</row>
    <row r="47" spans="1:39" ht="12.75" customHeight="1" x14ac:dyDescent="0.2">
      <c r="A47" s="95"/>
      <c r="B47" s="19" t="s">
        <v>248</v>
      </c>
      <c r="C47" s="20" t="s">
        <v>11</v>
      </c>
      <c r="D47" s="120">
        <v>0</v>
      </c>
      <c r="E47" s="143"/>
      <c r="F47" s="143"/>
      <c r="G47" s="143"/>
      <c r="H47" s="144"/>
      <c r="I47" s="144"/>
      <c r="J47" s="144"/>
      <c r="K47" s="144"/>
      <c r="L47" s="123"/>
      <c r="M47" s="123"/>
      <c r="N47" s="123"/>
      <c r="O47" s="140"/>
      <c r="P47" s="121">
        <f t="shared" si="4"/>
        <v>0</v>
      </c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  <c r="AL47" s="95"/>
      <c r="AM47" s="95"/>
    </row>
    <row r="48" spans="1:39" ht="12.75" customHeight="1" x14ac:dyDescent="0.2">
      <c r="A48" s="95"/>
      <c r="B48" s="122"/>
      <c r="C48" s="20" t="s">
        <v>12</v>
      </c>
      <c r="D48" s="120">
        <v>0</v>
      </c>
      <c r="E48" s="143"/>
      <c r="F48" s="143"/>
      <c r="G48" s="143"/>
      <c r="H48" s="144"/>
      <c r="I48" s="144"/>
      <c r="J48" s="144">
        <v>0.1</v>
      </c>
      <c r="K48" s="144">
        <v>0.1</v>
      </c>
      <c r="L48" s="123">
        <v>0.1</v>
      </c>
      <c r="M48" s="123">
        <v>0.1</v>
      </c>
      <c r="N48" s="123">
        <v>0.1</v>
      </c>
      <c r="O48" s="140">
        <v>0.1</v>
      </c>
      <c r="P48" s="121">
        <f t="shared" si="4"/>
        <v>8.5714285714285715E-2</v>
      </c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</row>
    <row r="49" spans="1:39" ht="12.75" customHeight="1" x14ac:dyDescent="0.2">
      <c r="A49" s="95"/>
      <c r="B49" s="122"/>
      <c r="C49" s="20" t="s">
        <v>13</v>
      </c>
      <c r="D49" s="120">
        <v>0.7</v>
      </c>
      <c r="E49" s="143">
        <v>0.7</v>
      </c>
      <c r="F49" s="143">
        <v>0.7</v>
      </c>
      <c r="G49" s="143">
        <v>0.8</v>
      </c>
      <c r="H49" s="144">
        <v>0.8</v>
      </c>
      <c r="I49" s="144">
        <v>0.8</v>
      </c>
      <c r="J49" s="144">
        <v>0.7</v>
      </c>
      <c r="K49" s="144">
        <v>0.7</v>
      </c>
      <c r="L49" s="123">
        <v>0.7</v>
      </c>
      <c r="M49" s="123">
        <v>0.7</v>
      </c>
      <c r="N49" s="123">
        <v>0.7</v>
      </c>
      <c r="O49" s="140">
        <v>0.7</v>
      </c>
      <c r="P49" s="121">
        <f t="shared" si="4"/>
        <v>0.72499999999999998</v>
      </c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</row>
    <row r="50" spans="1:39" ht="12.75" customHeight="1" x14ac:dyDescent="0.2">
      <c r="A50" s="95"/>
      <c r="B50" s="122"/>
      <c r="C50" s="20" t="s">
        <v>14</v>
      </c>
      <c r="D50" s="120">
        <v>0</v>
      </c>
      <c r="E50" s="143"/>
      <c r="F50" s="143"/>
      <c r="G50" s="143"/>
      <c r="H50" s="144"/>
      <c r="I50" s="144"/>
      <c r="J50" s="144"/>
      <c r="K50" s="144"/>
      <c r="L50" s="123"/>
      <c r="M50" s="123"/>
      <c r="N50" s="123"/>
      <c r="O50" s="140"/>
      <c r="P50" s="121">
        <f t="shared" si="4"/>
        <v>0</v>
      </c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</row>
    <row r="51" spans="1:39" ht="12.75" customHeight="1" x14ac:dyDescent="0.2">
      <c r="A51" s="95"/>
      <c r="B51" s="122"/>
      <c r="C51" s="20" t="s">
        <v>15</v>
      </c>
      <c r="D51" s="120">
        <v>0.1</v>
      </c>
      <c r="E51" s="143">
        <v>0.1</v>
      </c>
      <c r="F51" s="143">
        <v>0.1</v>
      </c>
      <c r="G51" s="143">
        <v>0.1</v>
      </c>
      <c r="H51" s="144">
        <v>0.1</v>
      </c>
      <c r="I51" s="144">
        <v>0.05</v>
      </c>
      <c r="J51" s="144">
        <v>0.05</v>
      </c>
      <c r="K51" s="144">
        <v>0.05</v>
      </c>
      <c r="L51" s="123">
        <v>0.05</v>
      </c>
      <c r="M51" s="123">
        <v>0.05</v>
      </c>
      <c r="N51" s="123">
        <v>0.05</v>
      </c>
      <c r="O51" s="140">
        <v>0.05</v>
      </c>
      <c r="P51" s="121">
        <f t="shared" si="4"/>
        <v>7.0833333333333359E-2</v>
      </c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  <c r="AL51" s="95"/>
      <c r="AM51" s="95"/>
    </row>
    <row r="52" spans="1:39" ht="12.75" customHeight="1" x14ac:dyDescent="0.2">
      <c r="A52" s="95"/>
      <c r="B52" s="122"/>
      <c r="C52" s="20" t="s">
        <v>16</v>
      </c>
      <c r="D52" s="120">
        <v>0</v>
      </c>
      <c r="E52" s="143"/>
      <c r="F52" s="143"/>
      <c r="G52" s="143"/>
      <c r="H52" s="144"/>
      <c r="I52" s="144"/>
      <c r="J52" s="144"/>
      <c r="K52" s="144"/>
      <c r="L52" s="123"/>
      <c r="M52" s="123"/>
      <c r="N52" s="123"/>
      <c r="O52" s="140"/>
      <c r="P52" s="121">
        <f t="shared" si="4"/>
        <v>0</v>
      </c>
      <c r="Q52" s="95"/>
      <c r="R52" s="95">
        <f>SUM(D46:O52)/12</f>
        <v>0.84583333333333355</v>
      </c>
      <c r="S52" s="95">
        <f>R52*R46</f>
        <v>60323.141666666685</v>
      </c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</row>
    <row r="53" spans="1:39" ht="12.75" customHeight="1" x14ac:dyDescent="0.2">
      <c r="A53" s="125"/>
      <c r="B53" s="126"/>
      <c r="C53" s="28" t="s">
        <v>17</v>
      </c>
      <c r="D53" s="127">
        <v>0.2</v>
      </c>
      <c r="E53" s="127">
        <v>0.2</v>
      </c>
      <c r="F53" s="127">
        <v>0.2</v>
      </c>
      <c r="G53" s="127">
        <v>0.1</v>
      </c>
      <c r="H53" s="127">
        <v>0.1</v>
      </c>
      <c r="I53" s="127">
        <v>0.15</v>
      </c>
      <c r="J53" s="127">
        <v>0.15</v>
      </c>
      <c r="K53" s="127">
        <v>0.15</v>
      </c>
      <c r="L53" s="127">
        <v>0.15</v>
      </c>
      <c r="M53" s="127">
        <v>0.15</v>
      </c>
      <c r="N53" s="127">
        <v>0.15</v>
      </c>
      <c r="O53" s="128">
        <v>0.15</v>
      </c>
      <c r="P53" s="129">
        <f t="shared" si="4"/>
        <v>0.15416666666666665</v>
      </c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  <c r="AL53" s="95"/>
      <c r="AM53" s="95"/>
    </row>
    <row r="54" spans="1:39" ht="12.75" customHeight="1" x14ac:dyDescent="0.2">
      <c r="A54" s="95"/>
      <c r="B54" s="141" t="str">
        <f>B46</f>
        <v>Shawn Ma</v>
      </c>
      <c r="C54" s="131" t="s">
        <v>241</v>
      </c>
      <c r="D54" s="132">
        <f t="shared" ref="D54:P54" si="6">SUM(D46:D53)</f>
        <v>1</v>
      </c>
      <c r="E54" s="132">
        <f t="shared" si="6"/>
        <v>1</v>
      </c>
      <c r="F54" s="132">
        <f t="shared" si="6"/>
        <v>1</v>
      </c>
      <c r="G54" s="132">
        <f t="shared" si="6"/>
        <v>1</v>
      </c>
      <c r="H54" s="132">
        <f t="shared" si="6"/>
        <v>1</v>
      </c>
      <c r="I54" s="132">
        <f t="shared" si="6"/>
        <v>1</v>
      </c>
      <c r="J54" s="132">
        <f t="shared" si="6"/>
        <v>1</v>
      </c>
      <c r="K54" s="132">
        <f t="shared" si="6"/>
        <v>1</v>
      </c>
      <c r="L54" s="132">
        <f t="shared" si="6"/>
        <v>1</v>
      </c>
      <c r="M54" s="132">
        <f t="shared" si="6"/>
        <v>1</v>
      </c>
      <c r="N54" s="132">
        <f t="shared" si="6"/>
        <v>1</v>
      </c>
      <c r="O54" s="132">
        <f t="shared" si="6"/>
        <v>1</v>
      </c>
      <c r="P54" s="132">
        <f t="shared" si="6"/>
        <v>1.0357142857142856</v>
      </c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</row>
    <row r="55" spans="1:39" ht="12.75" customHeight="1" x14ac:dyDescent="0.2">
      <c r="A55" s="95"/>
      <c r="B55" s="111" t="s">
        <v>249</v>
      </c>
      <c r="C55" s="36" t="s">
        <v>9</v>
      </c>
      <c r="D55" s="113">
        <v>0</v>
      </c>
      <c r="E55" s="149"/>
      <c r="F55" s="149"/>
      <c r="G55" s="149"/>
      <c r="H55" s="150"/>
      <c r="I55" s="150"/>
      <c r="J55" s="150"/>
      <c r="K55" s="150"/>
      <c r="L55" s="112"/>
      <c r="M55" s="112"/>
      <c r="N55" s="151"/>
      <c r="O55" s="152"/>
      <c r="P55" s="116">
        <f t="shared" ref="P55:P61" si="7">AVERAGE(D55:O55)</f>
        <v>0</v>
      </c>
      <c r="Q55" s="95"/>
      <c r="R55" s="95">
        <v>56826</v>
      </c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</row>
    <row r="56" spans="1:39" ht="12.75" customHeight="1" x14ac:dyDescent="0.2">
      <c r="A56" s="95"/>
      <c r="B56" s="19" t="s">
        <v>250</v>
      </c>
      <c r="C56" s="20" t="s">
        <v>11</v>
      </c>
      <c r="D56" s="120">
        <v>0</v>
      </c>
      <c r="E56" s="143"/>
      <c r="F56" s="143"/>
      <c r="G56" s="143"/>
      <c r="H56" s="144"/>
      <c r="I56" s="144"/>
      <c r="J56" s="144"/>
      <c r="K56" s="144"/>
      <c r="L56" s="123"/>
      <c r="M56" s="123"/>
      <c r="N56" s="153"/>
      <c r="O56" s="154"/>
      <c r="P56" s="121">
        <f t="shared" si="7"/>
        <v>0</v>
      </c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</row>
    <row r="57" spans="1:39" ht="12.75" customHeight="1" x14ac:dyDescent="0.2">
      <c r="A57" s="95"/>
      <c r="B57" s="122"/>
      <c r="C57" s="20" t="s">
        <v>12</v>
      </c>
      <c r="D57" s="120">
        <v>0</v>
      </c>
      <c r="E57" s="143"/>
      <c r="F57" s="143"/>
      <c r="G57" s="143"/>
      <c r="H57" s="144"/>
      <c r="I57" s="144"/>
      <c r="J57" s="144"/>
      <c r="K57" s="144"/>
      <c r="L57" s="123"/>
      <c r="M57" s="123"/>
      <c r="N57" s="153"/>
      <c r="O57" s="154"/>
      <c r="P57" s="121">
        <f t="shared" si="7"/>
        <v>0</v>
      </c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</row>
    <row r="58" spans="1:39" ht="12.75" customHeight="1" x14ac:dyDescent="0.2">
      <c r="A58" s="95"/>
      <c r="B58" s="122"/>
      <c r="C58" s="20" t="s">
        <v>13</v>
      </c>
      <c r="D58" s="120">
        <v>0.7</v>
      </c>
      <c r="E58" s="143">
        <v>0.7</v>
      </c>
      <c r="F58" s="143">
        <v>0.8</v>
      </c>
      <c r="G58" s="143">
        <v>0.8</v>
      </c>
      <c r="H58" s="144">
        <v>0.8</v>
      </c>
      <c r="I58" s="144">
        <v>0.7</v>
      </c>
      <c r="J58" s="144">
        <v>0.7</v>
      </c>
      <c r="K58" s="144">
        <v>0.8</v>
      </c>
      <c r="L58" s="123">
        <v>0.8</v>
      </c>
      <c r="M58" s="123">
        <v>0.8</v>
      </c>
      <c r="N58" s="153"/>
      <c r="O58" s="154"/>
      <c r="P58" s="121">
        <f t="shared" si="7"/>
        <v>0.76</v>
      </c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L58" s="95"/>
      <c r="AM58" s="95"/>
    </row>
    <row r="59" spans="1:39" ht="12.75" customHeight="1" x14ac:dyDescent="0.2">
      <c r="A59" s="95"/>
      <c r="B59" s="122"/>
      <c r="C59" s="20" t="s">
        <v>14</v>
      </c>
      <c r="D59" s="120">
        <v>0</v>
      </c>
      <c r="E59" s="143"/>
      <c r="F59" s="143"/>
      <c r="G59" s="143"/>
      <c r="H59" s="144"/>
      <c r="I59" s="144"/>
      <c r="J59" s="144"/>
      <c r="K59" s="144"/>
      <c r="L59" s="123"/>
      <c r="M59" s="123"/>
      <c r="N59" s="153"/>
      <c r="O59" s="154"/>
      <c r="P59" s="121">
        <f t="shared" si="7"/>
        <v>0</v>
      </c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</row>
    <row r="60" spans="1:39" ht="12.75" customHeight="1" x14ac:dyDescent="0.2">
      <c r="A60" s="95"/>
      <c r="B60" s="122"/>
      <c r="C60" s="20" t="s">
        <v>15</v>
      </c>
      <c r="D60" s="120">
        <v>0.05</v>
      </c>
      <c r="E60" s="143">
        <v>0.1</v>
      </c>
      <c r="F60" s="143">
        <v>0.1</v>
      </c>
      <c r="G60" s="143">
        <v>0.1</v>
      </c>
      <c r="H60" s="144">
        <v>0.05</v>
      </c>
      <c r="I60" s="144">
        <v>0.1</v>
      </c>
      <c r="J60" s="144">
        <v>0.1</v>
      </c>
      <c r="K60" s="144">
        <v>0.05</v>
      </c>
      <c r="L60" s="123">
        <v>0.1</v>
      </c>
      <c r="M60" s="123">
        <v>0.1</v>
      </c>
      <c r="N60" s="153"/>
      <c r="O60" s="154"/>
      <c r="P60" s="121">
        <f t="shared" si="7"/>
        <v>8.4999999999999992E-2</v>
      </c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  <c r="AL60" s="95"/>
      <c r="AM60" s="95"/>
    </row>
    <row r="61" spans="1:39" ht="12.75" customHeight="1" x14ac:dyDescent="0.2">
      <c r="A61" s="95"/>
      <c r="B61" s="122"/>
      <c r="C61" s="20" t="s">
        <v>16</v>
      </c>
      <c r="D61" s="120">
        <v>0</v>
      </c>
      <c r="E61" s="143"/>
      <c r="F61" s="143"/>
      <c r="G61" s="143"/>
      <c r="H61" s="144">
        <v>0.05</v>
      </c>
      <c r="I61" s="144"/>
      <c r="J61" s="144"/>
      <c r="K61" s="144">
        <v>0.05</v>
      </c>
      <c r="L61" s="123"/>
      <c r="M61" s="123"/>
      <c r="N61" s="153"/>
      <c r="O61" s="154"/>
      <c r="P61" s="121">
        <f t="shared" si="7"/>
        <v>3.3333333333333333E-2</v>
      </c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  <c r="AL61" s="95"/>
      <c r="AM61" s="95"/>
    </row>
    <row r="62" spans="1:39" ht="12.75" customHeight="1" x14ac:dyDescent="0.2">
      <c r="A62" s="125"/>
      <c r="B62" s="126"/>
      <c r="C62" s="28" t="s">
        <v>17</v>
      </c>
      <c r="D62" s="127">
        <v>0.05</v>
      </c>
      <c r="E62" s="127">
        <v>0.05</v>
      </c>
      <c r="F62" s="127">
        <v>0.05</v>
      </c>
      <c r="G62" s="127">
        <v>0.05</v>
      </c>
      <c r="H62" s="127">
        <v>0.05</v>
      </c>
      <c r="I62" s="127">
        <v>0.05</v>
      </c>
      <c r="J62" s="127">
        <v>0.05</v>
      </c>
      <c r="K62" s="127">
        <v>0.05</v>
      </c>
      <c r="L62" s="127">
        <v>0.05</v>
      </c>
      <c r="M62" s="127">
        <v>0.05</v>
      </c>
      <c r="N62" s="127"/>
      <c r="O62" s="128"/>
      <c r="P62" s="129"/>
      <c r="Q62" s="95"/>
      <c r="R62" s="95">
        <f>SUM(D55:M61)/10</f>
        <v>0.85499999999999987</v>
      </c>
      <c r="S62" s="95">
        <f>R62*R55</f>
        <v>48586.229999999996</v>
      </c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</row>
    <row r="63" spans="1:39" ht="12.75" customHeight="1" x14ac:dyDescent="0.2">
      <c r="A63" s="95"/>
      <c r="B63" s="138" t="s">
        <v>251</v>
      </c>
      <c r="C63" s="131" t="s">
        <v>241</v>
      </c>
      <c r="D63" s="132">
        <f t="shared" ref="D63:O63" si="8">SUM(D55:D62)</f>
        <v>0.8</v>
      </c>
      <c r="E63" s="132">
        <f t="shared" si="8"/>
        <v>0.85</v>
      </c>
      <c r="F63" s="132">
        <f t="shared" si="8"/>
        <v>0.95000000000000007</v>
      </c>
      <c r="G63" s="132">
        <f t="shared" si="8"/>
        <v>0.95000000000000007</v>
      </c>
      <c r="H63" s="132">
        <f t="shared" si="8"/>
        <v>0.95000000000000018</v>
      </c>
      <c r="I63" s="132">
        <f t="shared" si="8"/>
        <v>0.85</v>
      </c>
      <c r="J63" s="132">
        <f t="shared" si="8"/>
        <v>0.85</v>
      </c>
      <c r="K63" s="132">
        <f t="shared" si="8"/>
        <v>0.95000000000000018</v>
      </c>
      <c r="L63" s="132">
        <f t="shared" si="8"/>
        <v>0.95000000000000007</v>
      </c>
      <c r="M63" s="132">
        <f t="shared" si="8"/>
        <v>0.95000000000000007</v>
      </c>
      <c r="N63" s="132">
        <f t="shared" si="8"/>
        <v>0</v>
      </c>
      <c r="O63" s="132">
        <f t="shared" si="8"/>
        <v>0</v>
      </c>
      <c r="P63" s="155">
        <f t="shared" ref="P63:P99" si="9">AVERAGE(D63:O63)</f>
        <v>0.75416666666666654</v>
      </c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  <c r="AL63" s="95"/>
      <c r="AM63" s="95"/>
    </row>
    <row r="64" spans="1:39" ht="12.75" customHeight="1" x14ac:dyDescent="0.2">
      <c r="A64" s="95"/>
      <c r="B64" s="111" t="s">
        <v>252</v>
      </c>
      <c r="C64" s="36" t="s">
        <v>9</v>
      </c>
      <c r="D64" s="113">
        <v>0</v>
      </c>
      <c r="E64" s="149"/>
      <c r="F64" s="149"/>
      <c r="G64" s="149"/>
      <c r="H64" s="150"/>
      <c r="I64" s="150"/>
      <c r="J64" s="150"/>
      <c r="K64" s="150"/>
      <c r="L64" s="112"/>
      <c r="M64" s="112"/>
      <c r="N64" s="151"/>
      <c r="O64" s="152"/>
      <c r="P64" s="116">
        <f t="shared" si="9"/>
        <v>0</v>
      </c>
      <c r="Q64" s="95"/>
      <c r="R64" s="95">
        <v>63515</v>
      </c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  <c r="AL64" s="95"/>
      <c r="AM64" s="95"/>
    </row>
    <row r="65" spans="1:39" ht="12.75" customHeight="1" x14ac:dyDescent="0.2">
      <c r="A65" s="95"/>
      <c r="B65" s="19" t="s">
        <v>253</v>
      </c>
      <c r="C65" s="20" t="s">
        <v>11</v>
      </c>
      <c r="D65" s="120">
        <v>0</v>
      </c>
      <c r="E65" s="143"/>
      <c r="F65" s="143"/>
      <c r="G65" s="143"/>
      <c r="H65" s="144"/>
      <c r="I65" s="144"/>
      <c r="J65" s="144"/>
      <c r="K65" s="144"/>
      <c r="L65" s="123"/>
      <c r="M65" s="123"/>
      <c r="N65" s="153"/>
      <c r="O65" s="154"/>
      <c r="P65" s="121">
        <f t="shared" si="9"/>
        <v>0</v>
      </c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  <c r="AL65" s="95"/>
      <c r="AM65" s="95"/>
    </row>
    <row r="66" spans="1:39" ht="12.75" customHeight="1" x14ac:dyDescent="0.2">
      <c r="A66" s="95"/>
      <c r="B66" s="122"/>
      <c r="C66" s="20" t="s">
        <v>12</v>
      </c>
      <c r="D66" s="120">
        <v>0</v>
      </c>
      <c r="E66" s="143"/>
      <c r="F66" s="143"/>
      <c r="G66" s="143"/>
      <c r="H66" s="144"/>
      <c r="I66" s="144"/>
      <c r="J66" s="144"/>
      <c r="K66" s="144"/>
      <c r="L66" s="123"/>
      <c r="M66" s="123"/>
      <c r="N66" s="153"/>
      <c r="O66" s="154"/>
      <c r="P66" s="121">
        <f t="shared" si="9"/>
        <v>0</v>
      </c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  <c r="AL66" s="95"/>
      <c r="AM66" s="95"/>
    </row>
    <row r="67" spans="1:39" ht="12.75" customHeight="1" x14ac:dyDescent="0.2">
      <c r="A67" s="95"/>
      <c r="B67" s="122"/>
      <c r="C67" s="20" t="s">
        <v>13</v>
      </c>
      <c r="D67" s="120">
        <v>0</v>
      </c>
      <c r="E67" s="143"/>
      <c r="F67" s="143"/>
      <c r="G67" s="143"/>
      <c r="H67" s="144"/>
      <c r="I67" s="144"/>
      <c r="J67" s="144"/>
      <c r="K67" s="144"/>
      <c r="L67" s="123"/>
      <c r="M67" s="123"/>
      <c r="N67" s="153"/>
      <c r="O67" s="154"/>
      <c r="P67" s="121">
        <f t="shared" si="9"/>
        <v>0</v>
      </c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</row>
    <row r="68" spans="1:39" ht="12.75" customHeight="1" x14ac:dyDescent="0.2">
      <c r="A68" s="95"/>
      <c r="B68" s="122"/>
      <c r="C68" s="20" t="s">
        <v>14</v>
      </c>
      <c r="D68" s="156">
        <v>0.95</v>
      </c>
      <c r="E68" s="143">
        <v>0.95</v>
      </c>
      <c r="F68" s="143">
        <v>0.95</v>
      </c>
      <c r="G68" s="143">
        <v>0.95</v>
      </c>
      <c r="H68" s="143">
        <v>0.95</v>
      </c>
      <c r="I68" s="143">
        <v>0.95</v>
      </c>
      <c r="J68" s="143">
        <v>0.95</v>
      </c>
      <c r="K68" s="143">
        <v>0.95</v>
      </c>
      <c r="L68" s="143">
        <v>0.95</v>
      </c>
      <c r="M68" s="143">
        <v>0.95</v>
      </c>
      <c r="N68" s="157"/>
      <c r="O68" s="158"/>
      <c r="P68" s="121">
        <f t="shared" si="9"/>
        <v>0.95</v>
      </c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  <c r="AL68" s="95"/>
      <c r="AM68" s="95"/>
    </row>
    <row r="69" spans="1:39" ht="12.75" customHeight="1" x14ac:dyDescent="0.2">
      <c r="A69" s="95"/>
      <c r="B69" s="122"/>
      <c r="C69" s="20" t="s">
        <v>15</v>
      </c>
      <c r="D69" s="120">
        <v>0</v>
      </c>
      <c r="E69" s="143"/>
      <c r="F69" s="143"/>
      <c r="G69" s="143"/>
      <c r="H69" s="144"/>
      <c r="I69" s="144"/>
      <c r="J69" s="144"/>
      <c r="K69" s="144"/>
      <c r="L69" s="123"/>
      <c r="M69" s="123"/>
      <c r="N69" s="153"/>
      <c r="O69" s="154"/>
      <c r="P69" s="121">
        <f t="shared" si="9"/>
        <v>0</v>
      </c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  <c r="AL69" s="95"/>
      <c r="AM69" s="95"/>
    </row>
    <row r="70" spans="1:39" ht="12.75" customHeight="1" x14ac:dyDescent="0.2">
      <c r="A70" s="95"/>
      <c r="B70" s="122"/>
      <c r="C70" s="20" t="s">
        <v>16</v>
      </c>
      <c r="D70" s="120">
        <v>0</v>
      </c>
      <c r="E70" s="143"/>
      <c r="F70" s="143"/>
      <c r="G70" s="143"/>
      <c r="H70" s="144"/>
      <c r="I70" s="144"/>
      <c r="J70" s="144"/>
      <c r="K70" s="144"/>
      <c r="L70" s="123"/>
      <c r="M70" s="123"/>
      <c r="N70" s="153"/>
      <c r="O70" s="154"/>
      <c r="P70" s="121">
        <f t="shared" si="9"/>
        <v>0</v>
      </c>
      <c r="Q70" s="95"/>
      <c r="R70" s="95">
        <f>SUM(D64:M70)/10</f>
        <v>0.95</v>
      </c>
      <c r="S70" s="95">
        <f>R70*R64</f>
        <v>60339.25</v>
      </c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  <c r="AL70" s="95"/>
      <c r="AM70" s="95"/>
    </row>
    <row r="71" spans="1:39" ht="12.75" customHeight="1" x14ac:dyDescent="0.2">
      <c r="A71" s="125"/>
      <c r="B71" s="126"/>
      <c r="C71" s="28" t="s">
        <v>17</v>
      </c>
      <c r="D71" s="127">
        <v>0.05</v>
      </c>
      <c r="E71" s="127">
        <v>0.05</v>
      </c>
      <c r="F71" s="127">
        <v>0.05</v>
      </c>
      <c r="G71" s="127">
        <v>0.05</v>
      </c>
      <c r="H71" s="127">
        <v>0.05</v>
      </c>
      <c r="I71" s="127">
        <v>0.05</v>
      </c>
      <c r="J71" s="127">
        <v>0.05</v>
      </c>
      <c r="K71" s="127">
        <v>0.05</v>
      </c>
      <c r="L71" s="127">
        <v>0.05</v>
      </c>
      <c r="M71" s="127">
        <v>0.05</v>
      </c>
      <c r="N71" s="127"/>
      <c r="O71" s="128"/>
      <c r="P71" s="129">
        <f t="shared" si="9"/>
        <v>4.9999999999999996E-2</v>
      </c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  <c r="AL71" s="95"/>
      <c r="AM71" s="95"/>
    </row>
    <row r="72" spans="1:39" ht="12.75" customHeight="1" x14ac:dyDescent="0.2">
      <c r="A72" s="95"/>
      <c r="B72" s="138" t="s">
        <v>254</v>
      </c>
      <c r="C72" s="131" t="s">
        <v>241</v>
      </c>
      <c r="D72" s="132">
        <f t="shared" ref="D72:O72" si="10">SUM(D64:D71)</f>
        <v>1</v>
      </c>
      <c r="E72" s="132">
        <f t="shared" si="10"/>
        <v>1</v>
      </c>
      <c r="F72" s="132">
        <f t="shared" si="10"/>
        <v>1</v>
      </c>
      <c r="G72" s="132">
        <f t="shared" si="10"/>
        <v>1</v>
      </c>
      <c r="H72" s="132">
        <f t="shared" si="10"/>
        <v>1</v>
      </c>
      <c r="I72" s="132">
        <f t="shared" si="10"/>
        <v>1</v>
      </c>
      <c r="J72" s="132">
        <f t="shared" si="10"/>
        <v>1</v>
      </c>
      <c r="K72" s="132">
        <f t="shared" si="10"/>
        <v>1</v>
      </c>
      <c r="L72" s="132">
        <f t="shared" si="10"/>
        <v>1</v>
      </c>
      <c r="M72" s="132">
        <f t="shared" si="10"/>
        <v>1</v>
      </c>
      <c r="N72" s="132">
        <f t="shared" si="10"/>
        <v>0</v>
      </c>
      <c r="O72" s="132">
        <f t="shared" si="10"/>
        <v>0</v>
      </c>
      <c r="P72" s="155">
        <f t="shared" si="9"/>
        <v>0.83333333333333337</v>
      </c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</row>
    <row r="73" spans="1:39" ht="12.75" customHeight="1" x14ac:dyDescent="0.2">
      <c r="A73" s="95"/>
      <c r="B73" s="111" t="s">
        <v>255</v>
      </c>
      <c r="C73" s="36" t="s">
        <v>9</v>
      </c>
      <c r="D73" s="113">
        <v>0</v>
      </c>
      <c r="E73" s="149"/>
      <c r="F73" s="149"/>
      <c r="G73" s="149"/>
      <c r="H73" s="150"/>
      <c r="I73" s="150"/>
      <c r="J73" s="150"/>
      <c r="K73" s="150"/>
      <c r="L73" s="112"/>
      <c r="M73" s="112"/>
      <c r="N73" s="112"/>
      <c r="O73" s="139"/>
      <c r="P73" s="116">
        <f t="shared" si="9"/>
        <v>0</v>
      </c>
      <c r="Q73" s="95"/>
      <c r="R73" s="95">
        <v>64649</v>
      </c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</row>
    <row r="74" spans="1:39" ht="12.75" customHeight="1" x14ac:dyDescent="0.2">
      <c r="A74" s="95"/>
      <c r="B74" s="19" t="s">
        <v>253</v>
      </c>
      <c r="C74" s="20" t="s">
        <v>11</v>
      </c>
      <c r="D74" s="120">
        <v>0</v>
      </c>
      <c r="E74" s="143"/>
      <c r="F74" s="143"/>
      <c r="G74" s="143"/>
      <c r="H74" s="144"/>
      <c r="I74" s="144"/>
      <c r="J74" s="144"/>
      <c r="K74" s="144"/>
      <c r="L74" s="123"/>
      <c r="M74" s="123"/>
      <c r="N74" s="123"/>
      <c r="O74" s="140"/>
      <c r="P74" s="121">
        <f t="shared" si="9"/>
        <v>0</v>
      </c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</row>
    <row r="75" spans="1:39" ht="12.75" customHeight="1" x14ac:dyDescent="0.2">
      <c r="A75" s="95"/>
      <c r="B75" s="122"/>
      <c r="C75" s="20" t="s">
        <v>12</v>
      </c>
      <c r="D75" s="120">
        <v>0</v>
      </c>
      <c r="E75" s="143"/>
      <c r="F75" s="143"/>
      <c r="G75" s="143"/>
      <c r="H75" s="144"/>
      <c r="I75" s="144"/>
      <c r="J75" s="144"/>
      <c r="K75" s="144"/>
      <c r="L75" s="123"/>
      <c r="M75" s="123"/>
      <c r="N75" s="123"/>
      <c r="O75" s="140"/>
      <c r="P75" s="121">
        <f t="shared" si="9"/>
        <v>0</v>
      </c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</row>
    <row r="76" spans="1:39" ht="12.75" customHeight="1" x14ac:dyDescent="0.2">
      <c r="A76" s="95"/>
      <c r="B76" s="122"/>
      <c r="C76" s="20" t="s">
        <v>13</v>
      </c>
      <c r="D76" s="120">
        <v>0</v>
      </c>
      <c r="E76" s="143"/>
      <c r="F76" s="143"/>
      <c r="G76" s="143"/>
      <c r="H76" s="144"/>
      <c r="I76" s="144"/>
      <c r="J76" s="144"/>
      <c r="K76" s="144"/>
      <c r="L76" s="123"/>
      <c r="M76" s="123"/>
      <c r="N76" s="123"/>
      <c r="O76" s="140"/>
      <c r="P76" s="121">
        <f t="shared" si="9"/>
        <v>0</v>
      </c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</row>
    <row r="77" spans="1:39" ht="12.75" customHeight="1" x14ac:dyDescent="0.2">
      <c r="A77" s="95"/>
      <c r="B77" s="122"/>
      <c r="C77" s="20" t="s">
        <v>14</v>
      </c>
      <c r="D77" s="156">
        <v>0.95</v>
      </c>
      <c r="E77" s="143">
        <v>0.95</v>
      </c>
      <c r="F77" s="143">
        <v>0.95</v>
      </c>
      <c r="G77" s="143">
        <v>0.95</v>
      </c>
      <c r="H77" s="143">
        <v>0.95</v>
      </c>
      <c r="I77" s="143">
        <v>0.95</v>
      </c>
      <c r="J77" s="143">
        <v>0.95</v>
      </c>
      <c r="K77" s="143">
        <v>0.95</v>
      </c>
      <c r="L77" s="143">
        <v>0.95</v>
      </c>
      <c r="M77" s="143">
        <v>0.95</v>
      </c>
      <c r="N77" s="143">
        <v>0.95</v>
      </c>
      <c r="O77" s="159">
        <v>0.95</v>
      </c>
      <c r="P77" s="121">
        <f t="shared" si="9"/>
        <v>0.94999999999999984</v>
      </c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</row>
    <row r="78" spans="1:39" ht="12.75" customHeight="1" x14ac:dyDescent="0.2">
      <c r="A78" s="95"/>
      <c r="B78" s="122"/>
      <c r="C78" s="20" t="s">
        <v>15</v>
      </c>
      <c r="D78" s="120">
        <v>0</v>
      </c>
      <c r="E78" s="143"/>
      <c r="F78" s="143"/>
      <c r="G78" s="143"/>
      <c r="H78" s="144"/>
      <c r="I78" s="144"/>
      <c r="J78" s="144"/>
      <c r="K78" s="144"/>
      <c r="L78" s="123"/>
      <c r="M78" s="123"/>
      <c r="N78" s="123"/>
      <c r="O78" s="140"/>
      <c r="P78" s="121">
        <f t="shared" si="9"/>
        <v>0</v>
      </c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</row>
    <row r="79" spans="1:39" ht="12.75" customHeight="1" x14ac:dyDescent="0.2">
      <c r="A79" s="95"/>
      <c r="B79" s="122"/>
      <c r="C79" s="20" t="s">
        <v>16</v>
      </c>
      <c r="D79" s="120">
        <v>0</v>
      </c>
      <c r="E79" s="143"/>
      <c r="F79" s="143"/>
      <c r="G79" s="143"/>
      <c r="H79" s="144"/>
      <c r="I79" s="144"/>
      <c r="J79" s="144"/>
      <c r="K79" s="144"/>
      <c r="L79" s="123"/>
      <c r="M79" s="123"/>
      <c r="N79" s="123"/>
      <c r="O79" s="140"/>
      <c r="P79" s="121">
        <f t="shared" si="9"/>
        <v>0</v>
      </c>
      <c r="Q79" s="95"/>
      <c r="R79" s="95">
        <f>SUM(D73:O79)/12</f>
        <v>0.94999999999999984</v>
      </c>
      <c r="S79" s="95">
        <f>R79*R73</f>
        <v>61416.549999999988</v>
      </c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</row>
    <row r="80" spans="1:39" ht="12.75" customHeight="1" x14ac:dyDescent="0.2">
      <c r="A80" s="125"/>
      <c r="B80" s="126"/>
      <c r="C80" s="28" t="s">
        <v>17</v>
      </c>
      <c r="D80" s="127">
        <v>0.05</v>
      </c>
      <c r="E80" s="127">
        <v>0.05</v>
      </c>
      <c r="F80" s="127">
        <v>0.05</v>
      </c>
      <c r="G80" s="127">
        <v>0.05</v>
      </c>
      <c r="H80" s="127">
        <v>0.05</v>
      </c>
      <c r="I80" s="127">
        <v>0.05</v>
      </c>
      <c r="J80" s="127">
        <v>0.05</v>
      </c>
      <c r="K80" s="127">
        <v>0.05</v>
      </c>
      <c r="L80" s="127">
        <v>0.05</v>
      </c>
      <c r="M80" s="127">
        <v>0.05</v>
      </c>
      <c r="N80" s="127">
        <v>0.05</v>
      </c>
      <c r="O80" s="128">
        <v>0.05</v>
      </c>
      <c r="P80" s="129">
        <f t="shared" si="9"/>
        <v>4.9999999999999996E-2</v>
      </c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</row>
    <row r="81" spans="1:39" ht="12.75" customHeight="1" x14ac:dyDescent="0.2">
      <c r="A81" s="95"/>
      <c r="B81" s="141" t="str">
        <f>B73</f>
        <v>Srujana Enugala</v>
      </c>
      <c r="C81" s="131" t="s">
        <v>241</v>
      </c>
      <c r="D81" s="132">
        <f t="shared" ref="D81:O81" si="11">SUM(D73:D80)</f>
        <v>1</v>
      </c>
      <c r="E81" s="132">
        <f t="shared" si="11"/>
        <v>1</v>
      </c>
      <c r="F81" s="132">
        <f t="shared" si="11"/>
        <v>1</v>
      </c>
      <c r="G81" s="132">
        <f t="shared" si="11"/>
        <v>1</v>
      </c>
      <c r="H81" s="132">
        <f t="shared" si="11"/>
        <v>1</v>
      </c>
      <c r="I81" s="132">
        <f t="shared" si="11"/>
        <v>1</v>
      </c>
      <c r="J81" s="132">
        <f t="shared" si="11"/>
        <v>1</v>
      </c>
      <c r="K81" s="132">
        <f t="shared" si="11"/>
        <v>1</v>
      </c>
      <c r="L81" s="132">
        <f t="shared" si="11"/>
        <v>1</v>
      </c>
      <c r="M81" s="132">
        <f t="shared" si="11"/>
        <v>1</v>
      </c>
      <c r="N81" s="132">
        <f t="shared" si="11"/>
        <v>1</v>
      </c>
      <c r="O81" s="132">
        <f t="shared" si="11"/>
        <v>1</v>
      </c>
      <c r="P81" s="155">
        <f t="shared" si="9"/>
        <v>1</v>
      </c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</row>
    <row r="82" spans="1:39" ht="12.75" customHeight="1" x14ac:dyDescent="0.2">
      <c r="A82" s="95"/>
      <c r="B82" s="111" t="s">
        <v>256</v>
      </c>
      <c r="C82" s="36" t="s">
        <v>9</v>
      </c>
      <c r="D82" s="113">
        <v>0</v>
      </c>
      <c r="E82" s="149"/>
      <c r="F82" s="149"/>
      <c r="G82" s="149"/>
      <c r="H82" s="150"/>
      <c r="I82" s="150"/>
      <c r="J82" s="150"/>
      <c r="K82" s="150"/>
      <c r="L82" s="112"/>
      <c r="M82" s="112"/>
      <c r="N82" s="112"/>
      <c r="O82" s="139"/>
      <c r="P82" s="116">
        <f t="shared" si="9"/>
        <v>0</v>
      </c>
      <c r="Q82" s="95"/>
      <c r="R82" s="95">
        <v>27685</v>
      </c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</row>
    <row r="83" spans="1:39" ht="12.75" customHeight="1" x14ac:dyDescent="0.2">
      <c r="A83" s="95"/>
      <c r="B83" s="19" t="s">
        <v>248</v>
      </c>
      <c r="C83" s="20" t="s">
        <v>11</v>
      </c>
      <c r="D83" s="120">
        <v>0</v>
      </c>
      <c r="E83" s="143"/>
      <c r="F83" s="143"/>
      <c r="G83" s="143"/>
      <c r="H83" s="144"/>
      <c r="I83" s="144"/>
      <c r="J83" s="144"/>
      <c r="K83" s="144"/>
      <c r="L83" s="123"/>
      <c r="M83" s="123"/>
      <c r="N83" s="123"/>
      <c r="O83" s="140"/>
      <c r="P83" s="121">
        <f t="shared" si="9"/>
        <v>0</v>
      </c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  <c r="AL83" s="95"/>
      <c r="AM83" s="95"/>
    </row>
    <row r="84" spans="1:39" ht="12.75" customHeight="1" x14ac:dyDescent="0.2">
      <c r="A84" s="95"/>
      <c r="B84" s="122"/>
      <c r="C84" s="20" t="s">
        <v>12</v>
      </c>
      <c r="D84" s="120">
        <v>0</v>
      </c>
      <c r="E84" s="143"/>
      <c r="F84" s="143"/>
      <c r="G84" s="143"/>
      <c r="H84" s="144"/>
      <c r="I84" s="144"/>
      <c r="J84" s="144"/>
      <c r="K84" s="144"/>
      <c r="L84" s="123"/>
      <c r="M84" s="123"/>
      <c r="N84" s="123"/>
      <c r="O84" s="140"/>
      <c r="P84" s="121">
        <f t="shared" si="9"/>
        <v>0</v>
      </c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  <c r="AL84" s="95"/>
      <c r="AM84" s="95"/>
    </row>
    <row r="85" spans="1:39" ht="12.75" customHeight="1" x14ac:dyDescent="0.2">
      <c r="A85" s="95"/>
      <c r="B85" s="122"/>
      <c r="C85" s="20" t="s">
        <v>13</v>
      </c>
      <c r="D85" s="120">
        <v>0.7</v>
      </c>
      <c r="E85" s="143">
        <v>0.7</v>
      </c>
      <c r="F85" s="143">
        <v>0.7</v>
      </c>
      <c r="G85" s="143">
        <v>0.8</v>
      </c>
      <c r="H85" s="144">
        <v>0.8</v>
      </c>
      <c r="I85" s="144">
        <v>0.8</v>
      </c>
      <c r="J85" s="144">
        <v>0.8</v>
      </c>
      <c r="K85" s="144">
        <v>0.8</v>
      </c>
      <c r="L85" s="123">
        <v>0.8</v>
      </c>
      <c r="M85" s="123">
        <v>0.8</v>
      </c>
      <c r="N85" s="123">
        <v>0.8</v>
      </c>
      <c r="O85" s="140">
        <v>0.8</v>
      </c>
      <c r="P85" s="121">
        <f t="shared" si="9"/>
        <v>0.77499999999999991</v>
      </c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  <c r="AL85" s="95"/>
      <c r="AM85" s="95"/>
    </row>
    <row r="86" spans="1:39" ht="12.75" customHeight="1" x14ac:dyDescent="0.2">
      <c r="A86" s="95"/>
      <c r="B86" s="122"/>
      <c r="C86" s="20" t="s">
        <v>14</v>
      </c>
      <c r="D86" s="120">
        <v>0</v>
      </c>
      <c r="E86" s="143"/>
      <c r="F86" s="143"/>
      <c r="G86" s="143"/>
      <c r="H86" s="144"/>
      <c r="I86" s="144"/>
      <c r="J86" s="144"/>
      <c r="K86" s="144"/>
      <c r="L86" s="123"/>
      <c r="M86" s="123"/>
      <c r="N86" s="123"/>
      <c r="O86" s="140"/>
      <c r="P86" s="121">
        <f t="shared" si="9"/>
        <v>0</v>
      </c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  <c r="AL86" s="95"/>
      <c r="AM86" s="95"/>
    </row>
    <row r="87" spans="1:39" ht="12.75" customHeight="1" x14ac:dyDescent="0.2">
      <c r="A87" s="95"/>
      <c r="B87" s="122"/>
      <c r="C87" s="20" t="s">
        <v>15</v>
      </c>
      <c r="D87" s="120">
        <v>0.05</v>
      </c>
      <c r="E87" s="143">
        <v>0.05</v>
      </c>
      <c r="F87" s="143">
        <v>0.05</v>
      </c>
      <c r="G87" s="143">
        <v>0.05</v>
      </c>
      <c r="H87" s="144">
        <v>0.05</v>
      </c>
      <c r="I87" s="144">
        <v>0.05</v>
      </c>
      <c r="J87" s="144">
        <v>0.05</v>
      </c>
      <c r="K87" s="144">
        <v>0.05</v>
      </c>
      <c r="L87" s="123">
        <v>0.05</v>
      </c>
      <c r="M87" s="123">
        <v>0.05</v>
      </c>
      <c r="N87" s="123">
        <v>0.05</v>
      </c>
      <c r="O87" s="140">
        <v>0.05</v>
      </c>
      <c r="P87" s="121">
        <f t="shared" si="9"/>
        <v>4.9999999999999996E-2</v>
      </c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  <c r="AL87" s="95"/>
      <c r="AM87" s="95"/>
    </row>
    <row r="88" spans="1:39" ht="12.75" customHeight="1" x14ac:dyDescent="0.2">
      <c r="A88" s="95"/>
      <c r="B88" s="122"/>
      <c r="C88" s="20" t="s">
        <v>16</v>
      </c>
      <c r="D88" s="120">
        <v>0</v>
      </c>
      <c r="E88" s="143"/>
      <c r="F88" s="143"/>
      <c r="G88" s="143"/>
      <c r="H88" s="144"/>
      <c r="I88" s="144"/>
      <c r="J88" s="144"/>
      <c r="K88" s="144"/>
      <c r="L88" s="123"/>
      <c r="M88" s="123"/>
      <c r="N88" s="123"/>
      <c r="O88" s="140"/>
      <c r="P88" s="121">
        <f t="shared" si="9"/>
        <v>0</v>
      </c>
      <c r="Q88" s="95"/>
      <c r="R88" s="95">
        <f>SUM(D82:O88)/12</f>
        <v>0.82500000000000062</v>
      </c>
      <c r="S88" s="95">
        <f>R88*R82</f>
        <v>22840.125000000018</v>
      </c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95"/>
      <c r="AM88" s="95"/>
    </row>
    <row r="89" spans="1:39" ht="12.75" customHeight="1" x14ac:dyDescent="0.2">
      <c r="A89" s="125"/>
      <c r="B89" s="126"/>
      <c r="C89" s="28" t="s">
        <v>17</v>
      </c>
      <c r="D89" s="127">
        <v>0.25</v>
      </c>
      <c r="E89" s="127">
        <v>0.25</v>
      </c>
      <c r="F89" s="127">
        <v>0.25</v>
      </c>
      <c r="G89" s="127">
        <v>0.15</v>
      </c>
      <c r="H89" s="127">
        <v>0.15</v>
      </c>
      <c r="I89" s="127">
        <v>0.15</v>
      </c>
      <c r="J89" s="127">
        <v>0.15</v>
      </c>
      <c r="K89" s="127">
        <v>0.15</v>
      </c>
      <c r="L89" s="127">
        <v>0.15</v>
      </c>
      <c r="M89" s="127">
        <v>0.15</v>
      </c>
      <c r="N89" s="127">
        <v>0.15</v>
      </c>
      <c r="O89" s="128">
        <v>0.15</v>
      </c>
      <c r="P89" s="129">
        <f t="shared" si="9"/>
        <v>0.17499999999999996</v>
      </c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  <c r="AL89" s="95"/>
      <c r="AM89" s="95"/>
    </row>
    <row r="90" spans="1:39" ht="12.75" customHeight="1" x14ac:dyDescent="0.2">
      <c r="A90" s="95"/>
      <c r="B90" s="141" t="str">
        <f>B82</f>
        <v>Terrence Ngok</v>
      </c>
      <c r="C90" s="131" t="s">
        <v>241</v>
      </c>
      <c r="D90" s="132">
        <f t="shared" ref="D90:O90" si="12">SUM(D82:D89)</f>
        <v>1</v>
      </c>
      <c r="E90" s="132">
        <f t="shared" si="12"/>
        <v>1</v>
      </c>
      <c r="F90" s="132">
        <f t="shared" si="12"/>
        <v>1</v>
      </c>
      <c r="G90" s="132">
        <f t="shared" si="12"/>
        <v>1</v>
      </c>
      <c r="H90" s="132">
        <f t="shared" si="12"/>
        <v>1</v>
      </c>
      <c r="I90" s="132">
        <f t="shared" si="12"/>
        <v>1</v>
      </c>
      <c r="J90" s="132">
        <f t="shared" si="12"/>
        <v>1</v>
      </c>
      <c r="K90" s="132">
        <f t="shared" si="12"/>
        <v>1</v>
      </c>
      <c r="L90" s="132">
        <f t="shared" si="12"/>
        <v>1</v>
      </c>
      <c r="M90" s="132">
        <f t="shared" si="12"/>
        <v>1</v>
      </c>
      <c r="N90" s="132">
        <f t="shared" si="12"/>
        <v>1</v>
      </c>
      <c r="O90" s="132">
        <f t="shared" si="12"/>
        <v>1</v>
      </c>
      <c r="P90" s="155">
        <f t="shared" si="9"/>
        <v>1</v>
      </c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  <c r="AL90" s="95"/>
      <c r="AM90" s="95"/>
    </row>
    <row r="91" spans="1:39" ht="12.75" customHeight="1" x14ac:dyDescent="0.2">
      <c r="A91" s="95"/>
      <c r="B91" s="111" t="s">
        <v>257</v>
      </c>
      <c r="C91" s="36" t="s">
        <v>9</v>
      </c>
      <c r="D91" s="113"/>
      <c r="E91" s="149"/>
      <c r="F91" s="149"/>
      <c r="G91" s="149"/>
      <c r="H91" s="150"/>
      <c r="I91" s="150"/>
      <c r="J91" s="150"/>
      <c r="K91" s="150"/>
      <c r="L91" s="112"/>
      <c r="M91" s="112"/>
      <c r="N91" s="112"/>
      <c r="O91" s="139"/>
      <c r="P91" s="116" t="e">
        <f t="shared" si="9"/>
        <v>#DIV/0!</v>
      </c>
      <c r="Q91" s="160"/>
      <c r="R91" s="95">
        <v>28910</v>
      </c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  <c r="AL91" s="95"/>
      <c r="AM91" s="95"/>
    </row>
    <row r="92" spans="1:39" ht="12.75" customHeight="1" x14ac:dyDescent="0.2">
      <c r="A92" s="95"/>
      <c r="B92" s="19" t="s">
        <v>250</v>
      </c>
      <c r="C92" s="20" t="s">
        <v>11</v>
      </c>
      <c r="D92" s="120"/>
      <c r="E92" s="143"/>
      <c r="F92" s="143"/>
      <c r="G92" s="143"/>
      <c r="H92" s="144"/>
      <c r="I92" s="144"/>
      <c r="J92" s="144"/>
      <c r="K92" s="144"/>
      <c r="L92" s="123"/>
      <c r="M92" s="123"/>
      <c r="N92" s="123"/>
      <c r="O92" s="140"/>
      <c r="P92" s="121" t="e">
        <f t="shared" si="9"/>
        <v>#DIV/0!</v>
      </c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</row>
    <row r="93" spans="1:39" ht="12.75" customHeight="1" x14ac:dyDescent="0.2">
      <c r="A93" s="95"/>
      <c r="B93" s="122"/>
      <c r="C93" s="20" t="s">
        <v>12</v>
      </c>
      <c r="D93" s="120"/>
      <c r="E93" s="143">
        <v>0.05</v>
      </c>
      <c r="F93" s="143">
        <v>0.05</v>
      </c>
      <c r="G93" s="143">
        <v>0.05</v>
      </c>
      <c r="H93" s="144">
        <v>0.1</v>
      </c>
      <c r="I93" s="144">
        <v>0.1</v>
      </c>
      <c r="J93" s="144">
        <v>0.1</v>
      </c>
      <c r="K93" s="144">
        <v>0.15</v>
      </c>
      <c r="L93" s="123">
        <v>0.15</v>
      </c>
      <c r="M93" s="123">
        <v>0.15</v>
      </c>
      <c r="N93" s="123">
        <v>0.15</v>
      </c>
      <c r="O93" s="140">
        <v>0.2</v>
      </c>
      <c r="P93" s="121">
        <f t="shared" si="9"/>
        <v>0.11363636363636363</v>
      </c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  <c r="AL93" s="95"/>
      <c r="AM93" s="95"/>
    </row>
    <row r="94" spans="1:39" ht="12.75" customHeight="1" x14ac:dyDescent="0.2">
      <c r="A94" s="95"/>
      <c r="B94" s="122"/>
      <c r="C94" s="20" t="s">
        <v>13</v>
      </c>
      <c r="D94" s="120">
        <v>0.7</v>
      </c>
      <c r="E94" s="143">
        <v>0.7</v>
      </c>
      <c r="F94" s="143">
        <v>0.7</v>
      </c>
      <c r="G94" s="143">
        <v>0.7</v>
      </c>
      <c r="H94" s="144">
        <v>0.7</v>
      </c>
      <c r="I94" s="144">
        <v>0.7</v>
      </c>
      <c r="J94" s="144">
        <v>0.7</v>
      </c>
      <c r="K94" s="144">
        <v>0.7</v>
      </c>
      <c r="L94" s="123">
        <v>0.7</v>
      </c>
      <c r="M94" s="123">
        <v>0.7</v>
      </c>
      <c r="N94" s="123">
        <v>0.6</v>
      </c>
      <c r="O94" s="140">
        <v>0.6</v>
      </c>
      <c r="P94" s="121">
        <f t="shared" si="9"/>
        <v>0.68333333333333346</v>
      </c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  <c r="AL94" s="95"/>
      <c r="AM94" s="95"/>
    </row>
    <row r="95" spans="1:39" ht="12.75" customHeight="1" x14ac:dyDescent="0.2">
      <c r="A95" s="95"/>
      <c r="B95" s="122"/>
      <c r="C95" s="20" t="s">
        <v>14</v>
      </c>
      <c r="D95" s="120"/>
      <c r="E95" s="143"/>
      <c r="F95" s="143"/>
      <c r="G95" s="143"/>
      <c r="H95" s="144"/>
      <c r="I95" s="144"/>
      <c r="J95" s="144"/>
      <c r="K95" s="144"/>
      <c r="L95" s="123"/>
      <c r="M95" s="123"/>
      <c r="N95" s="123"/>
      <c r="O95" s="140"/>
      <c r="P95" s="121" t="e">
        <f t="shared" si="9"/>
        <v>#DIV/0!</v>
      </c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  <c r="AL95" s="95"/>
      <c r="AM95" s="95"/>
    </row>
    <row r="96" spans="1:39" ht="12.75" customHeight="1" x14ac:dyDescent="0.2">
      <c r="A96" s="95"/>
      <c r="B96" s="122"/>
      <c r="C96" s="20" t="s">
        <v>15</v>
      </c>
      <c r="D96" s="120">
        <v>0.2</v>
      </c>
      <c r="E96" s="143">
        <v>0.15</v>
      </c>
      <c r="F96" s="143">
        <v>0.15</v>
      </c>
      <c r="G96" s="143">
        <v>0.15</v>
      </c>
      <c r="H96" s="144">
        <v>0.15</v>
      </c>
      <c r="I96" s="144">
        <v>0.15</v>
      </c>
      <c r="J96" s="144">
        <v>0.15</v>
      </c>
      <c r="K96" s="144">
        <v>0.15</v>
      </c>
      <c r="L96" s="123">
        <v>0.15</v>
      </c>
      <c r="M96" s="123">
        <v>0.15</v>
      </c>
      <c r="N96" s="123">
        <v>0.15</v>
      </c>
      <c r="O96" s="140">
        <v>0.15</v>
      </c>
      <c r="P96" s="121">
        <f t="shared" si="9"/>
        <v>0.15416666666666665</v>
      </c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  <c r="AL96" s="95"/>
      <c r="AM96" s="95"/>
    </row>
    <row r="97" spans="1:39" ht="12.75" customHeight="1" x14ac:dyDescent="0.2">
      <c r="A97" s="95"/>
      <c r="B97" s="122"/>
      <c r="C97" s="20" t="s">
        <v>16</v>
      </c>
      <c r="D97" s="120"/>
      <c r="E97" s="143"/>
      <c r="F97" s="143"/>
      <c r="G97" s="143"/>
      <c r="H97" s="144"/>
      <c r="I97" s="144"/>
      <c r="J97" s="144"/>
      <c r="K97" s="144"/>
      <c r="L97" s="123"/>
      <c r="M97" s="123"/>
      <c r="N97" s="123"/>
      <c r="O97" s="140"/>
      <c r="P97" s="121" t="e">
        <f t="shared" si="9"/>
        <v>#DIV/0!</v>
      </c>
      <c r="Q97" s="95"/>
      <c r="R97" s="95">
        <f>SUM(D91:O97)/12</f>
        <v>0.94166666666666687</v>
      </c>
      <c r="S97" s="95">
        <f>R97*R91</f>
        <v>27223.583333333339</v>
      </c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</row>
    <row r="98" spans="1:39" ht="12.75" customHeight="1" x14ac:dyDescent="0.2">
      <c r="A98" s="125"/>
      <c r="B98" s="126"/>
      <c r="C98" s="28" t="s">
        <v>17</v>
      </c>
      <c r="D98" s="127">
        <v>0.1</v>
      </c>
      <c r="E98" s="127">
        <v>0.1</v>
      </c>
      <c r="F98" s="127">
        <v>0.1</v>
      </c>
      <c r="G98" s="127">
        <v>0.1</v>
      </c>
      <c r="H98" s="127">
        <v>0.05</v>
      </c>
      <c r="I98" s="127">
        <v>0.05</v>
      </c>
      <c r="J98" s="127">
        <v>0.05</v>
      </c>
      <c r="K98" s="127">
        <v>0.05</v>
      </c>
      <c r="L98" s="127">
        <v>0.05</v>
      </c>
      <c r="M98" s="127">
        <v>0.05</v>
      </c>
      <c r="N98" s="127">
        <v>0.05</v>
      </c>
      <c r="O98" s="128">
        <v>0.05</v>
      </c>
      <c r="P98" s="129">
        <f t="shared" si="9"/>
        <v>6.6666666666666693E-2</v>
      </c>
      <c r="Q98" s="95"/>
      <c r="R98" s="95" t="s">
        <v>258</v>
      </c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95"/>
    </row>
    <row r="99" spans="1:39" ht="12.75" customHeight="1" x14ac:dyDescent="0.2">
      <c r="A99" s="95"/>
      <c r="B99" s="141" t="str">
        <f>B91</f>
        <v>Chaw</v>
      </c>
      <c r="C99" s="131" t="s">
        <v>241</v>
      </c>
      <c r="D99" s="132">
        <f t="shared" ref="D99:O99" si="13">SUM(D91:D98)</f>
        <v>0.99999999999999989</v>
      </c>
      <c r="E99" s="132">
        <f t="shared" si="13"/>
        <v>1</v>
      </c>
      <c r="F99" s="132">
        <f t="shared" si="13"/>
        <v>1</v>
      </c>
      <c r="G99" s="132">
        <f t="shared" si="13"/>
        <v>1</v>
      </c>
      <c r="H99" s="132">
        <f t="shared" si="13"/>
        <v>1</v>
      </c>
      <c r="I99" s="132">
        <f t="shared" si="13"/>
        <v>1</v>
      </c>
      <c r="J99" s="132">
        <f t="shared" si="13"/>
        <v>1</v>
      </c>
      <c r="K99" s="132">
        <f t="shared" si="13"/>
        <v>1.05</v>
      </c>
      <c r="L99" s="132">
        <f t="shared" si="13"/>
        <v>1.05</v>
      </c>
      <c r="M99" s="132">
        <f t="shared" si="13"/>
        <v>1.05</v>
      </c>
      <c r="N99" s="132">
        <f t="shared" si="13"/>
        <v>0.95000000000000007</v>
      </c>
      <c r="O99" s="132">
        <f t="shared" si="13"/>
        <v>1</v>
      </c>
      <c r="P99" s="155">
        <f t="shared" si="9"/>
        <v>1.0083333333333335</v>
      </c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95"/>
    </row>
    <row r="100" spans="1:39" ht="12.75" customHeight="1" x14ac:dyDescent="0.2">
      <c r="A100" s="95"/>
      <c r="B100" s="111" t="s">
        <v>259</v>
      </c>
      <c r="C100" s="36" t="s">
        <v>9</v>
      </c>
      <c r="D100" s="113"/>
      <c r="E100" s="113"/>
      <c r="F100" s="113"/>
      <c r="G100" s="113"/>
      <c r="H100" s="113"/>
      <c r="I100" s="113"/>
      <c r="J100" s="150"/>
      <c r="K100" s="150"/>
      <c r="L100" s="112"/>
      <c r="M100" s="151"/>
      <c r="N100" s="151"/>
      <c r="O100" s="152"/>
      <c r="P100" s="161"/>
      <c r="Q100" s="95"/>
      <c r="R100" s="95">
        <v>15644</v>
      </c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95"/>
    </row>
    <row r="101" spans="1:39" ht="12.75" customHeight="1" x14ac:dyDescent="0.2">
      <c r="A101" s="95"/>
      <c r="B101" s="19" t="s">
        <v>250</v>
      </c>
      <c r="C101" s="20" t="s">
        <v>11</v>
      </c>
      <c r="D101" s="120"/>
      <c r="E101" s="120"/>
      <c r="F101" s="120"/>
      <c r="G101" s="120"/>
      <c r="H101" s="120"/>
      <c r="I101" s="120"/>
      <c r="J101" s="144"/>
      <c r="K101" s="144"/>
      <c r="L101" s="123"/>
      <c r="M101" s="153"/>
      <c r="N101" s="153"/>
      <c r="O101" s="154"/>
      <c r="P101" s="161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95"/>
    </row>
    <row r="102" spans="1:39" ht="12.75" customHeight="1" x14ac:dyDescent="0.2">
      <c r="A102" s="95"/>
      <c r="B102" s="122"/>
      <c r="C102" s="20" t="s">
        <v>12</v>
      </c>
      <c r="D102" s="120"/>
      <c r="E102" s="120"/>
      <c r="F102" s="120"/>
      <c r="G102" s="120"/>
      <c r="H102" s="120"/>
      <c r="I102" s="120"/>
      <c r="J102" s="144"/>
      <c r="K102" s="144"/>
      <c r="L102" s="123"/>
      <c r="M102" s="153"/>
      <c r="N102" s="153"/>
      <c r="O102" s="154"/>
      <c r="P102" s="161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95"/>
    </row>
    <row r="103" spans="1:39" ht="12.75" customHeight="1" x14ac:dyDescent="0.2">
      <c r="A103" s="95"/>
      <c r="B103" s="122"/>
      <c r="C103" s="20" t="s">
        <v>13</v>
      </c>
      <c r="D103" s="120">
        <v>0.7</v>
      </c>
      <c r="E103" s="120">
        <v>0.7</v>
      </c>
      <c r="F103" s="120">
        <v>0.7</v>
      </c>
      <c r="G103" s="120">
        <v>0.7</v>
      </c>
      <c r="H103" s="120">
        <v>0.7</v>
      </c>
      <c r="I103" s="120">
        <v>0.7</v>
      </c>
      <c r="J103" s="144">
        <v>0.7</v>
      </c>
      <c r="K103" s="144">
        <v>0.7</v>
      </c>
      <c r="L103" s="123">
        <v>0.7</v>
      </c>
      <c r="M103" s="153"/>
      <c r="N103" s="153"/>
      <c r="O103" s="154"/>
      <c r="P103" s="161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</row>
    <row r="104" spans="1:39" ht="12.75" customHeight="1" x14ac:dyDescent="0.2">
      <c r="A104" s="95"/>
      <c r="B104" s="122"/>
      <c r="C104" s="20" t="s">
        <v>14</v>
      </c>
      <c r="D104" s="120"/>
      <c r="E104" s="120"/>
      <c r="F104" s="120"/>
      <c r="G104" s="120"/>
      <c r="H104" s="120"/>
      <c r="I104" s="120"/>
      <c r="J104" s="144"/>
      <c r="K104" s="144"/>
      <c r="L104" s="123"/>
      <c r="M104" s="153"/>
      <c r="N104" s="153"/>
      <c r="O104" s="154"/>
      <c r="P104" s="161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95"/>
    </row>
    <row r="105" spans="1:39" ht="12.75" customHeight="1" x14ac:dyDescent="0.2">
      <c r="A105" s="95"/>
      <c r="B105" s="122"/>
      <c r="C105" s="20" t="s">
        <v>15</v>
      </c>
      <c r="D105" s="120">
        <v>0.2</v>
      </c>
      <c r="E105" s="120">
        <v>0.2</v>
      </c>
      <c r="F105" s="120">
        <v>0.2</v>
      </c>
      <c r="G105" s="120">
        <v>0.2</v>
      </c>
      <c r="H105" s="120">
        <v>0.2</v>
      </c>
      <c r="I105" s="120">
        <v>0.2</v>
      </c>
      <c r="J105" s="144">
        <v>0.2</v>
      </c>
      <c r="K105" s="144">
        <v>0.2</v>
      </c>
      <c r="L105" s="123">
        <v>0.2</v>
      </c>
      <c r="M105" s="153"/>
      <c r="N105" s="153"/>
      <c r="O105" s="154"/>
      <c r="P105" s="161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95"/>
    </row>
    <row r="106" spans="1:39" ht="12.75" customHeight="1" x14ac:dyDescent="0.2">
      <c r="A106" s="95"/>
      <c r="B106" s="122"/>
      <c r="C106" s="20" t="s">
        <v>16</v>
      </c>
      <c r="D106" s="120"/>
      <c r="E106" s="120"/>
      <c r="F106" s="120"/>
      <c r="G106" s="120"/>
      <c r="H106" s="120"/>
      <c r="I106" s="120"/>
      <c r="J106" s="144"/>
      <c r="K106" s="144"/>
      <c r="L106" s="123"/>
      <c r="M106" s="153"/>
      <c r="N106" s="153"/>
      <c r="O106" s="154"/>
      <c r="P106" s="161"/>
      <c r="Q106" s="95"/>
      <c r="R106" s="95">
        <f>SUM(D100:O106)/12</f>
        <v>0.67500000000000016</v>
      </c>
      <c r="S106" s="95">
        <f>R106*R100</f>
        <v>10559.700000000003</v>
      </c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95"/>
    </row>
    <row r="107" spans="1:39" ht="12.75" customHeight="1" x14ac:dyDescent="0.2">
      <c r="A107" s="95"/>
      <c r="B107" s="126"/>
      <c r="C107" s="28" t="s">
        <v>17</v>
      </c>
      <c r="D107" s="127">
        <v>0.1</v>
      </c>
      <c r="E107" s="127">
        <v>0.1</v>
      </c>
      <c r="F107" s="127">
        <v>0.1</v>
      </c>
      <c r="G107" s="127">
        <v>0.1</v>
      </c>
      <c r="H107" s="127">
        <v>0.1</v>
      </c>
      <c r="I107" s="127">
        <v>0.1</v>
      </c>
      <c r="J107" s="162">
        <v>0.1</v>
      </c>
      <c r="K107" s="162">
        <v>0.1</v>
      </c>
      <c r="L107" s="162">
        <v>0.1</v>
      </c>
      <c r="M107" s="163"/>
      <c r="N107" s="163"/>
      <c r="O107" s="164"/>
      <c r="P107" s="161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95"/>
    </row>
    <row r="108" spans="1:39" ht="12.75" customHeight="1" x14ac:dyDescent="0.2">
      <c r="A108" s="95"/>
      <c r="B108" s="141" t="str">
        <f>B100</f>
        <v>Kven</v>
      </c>
      <c r="C108" s="131" t="s">
        <v>241</v>
      </c>
      <c r="D108" s="132">
        <f t="shared" ref="D108:O108" si="14">SUM(D100:D107)</f>
        <v>0.99999999999999989</v>
      </c>
      <c r="E108" s="132">
        <f t="shared" si="14"/>
        <v>0.99999999999999989</v>
      </c>
      <c r="F108" s="132">
        <f t="shared" si="14"/>
        <v>0.99999999999999989</v>
      </c>
      <c r="G108" s="132">
        <f t="shared" si="14"/>
        <v>0.99999999999999989</v>
      </c>
      <c r="H108" s="132">
        <f t="shared" si="14"/>
        <v>0.99999999999999989</v>
      </c>
      <c r="I108" s="132">
        <f t="shared" si="14"/>
        <v>0.99999999999999989</v>
      </c>
      <c r="J108" s="132">
        <f t="shared" si="14"/>
        <v>0.99999999999999989</v>
      </c>
      <c r="K108" s="132">
        <f t="shared" si="14"/>
        <v>0.99999999999999989</v>
      </c>
      <c r="L108" s="132">
        <f t="shared" si="14"/>
        <v>0.99999999999999989</v>
      </c>
      <c r="M108" s="132">
        <f t="shared" si="14"/>
        <v>0</v>
      </c>
      <c r="N108" s="132">
        <f t="shared" si="14"/>
        <v>0</v>
      </c>
      <c r="O108" s="132">
        <f t="shared" si="14"/>
        <v>0</v>
      </c>
      <c r="P108" s="161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</row>
    <row r="109" spans="1:39" ht="12.75" customHeight="1" x14ac:dyDescent="0.2">
      <c r="A109" s="95"/>
      <c r="B109" s="111" t="s">
        <v>260</v>
      </c>
      <c r="C109" s="36" t="s">
        <v>9</v>
      </c>
      <c r="D109" s="165"/>
      <c r="E109" s="166"/>
      <c r="F109" s="166"/>
      <c r="G109" s="166"/>
      <c r="H109" s="167"/>
      <c r="I109" s="150"/>
      <c r="J109" s="150"/>
      <c r="K109" s="150"/>
      <c r="L109" s="112"/>
      <c r="M109" s="112"/>
      <c r="N109" s="112"/>
      <c r="O109" s="139"/>
      <c r="P109" s="116" t="e">
        <f t="shared" ref="P109:P115" si="15">AVERAGE(D109:O109)</f>
        <v>#DIV/0!</v>
      </c>
      <c r="Q109" s="95"/>
      <c r="R109" s="95">
        <v>36350</v>
      </c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95"/>
    </row>
    <row r="110" spans="1:39" ht="12.75" customHeight="1" x14ac:dyDescent="0.2">
      <c r="A110" s="95"/>
      <c r="B110" s="19" t="s">
        <v>253</v>
      </c>
      <c r="C110" s="20" t="s">
        <v>11</v>
      </c>
      <c r="D110" s="168"/>
      <c r="E110" s="157"/>
      <c r="F110" s="157"/>
      <c r="G110" s="157"/>
      <c r="H110" s="169"/>
      <c r="I110" s="144"/>
      <c r="J110" s="144"/>
      <c r="K110" s="144"/>
      <c r="L110" s="123"/>
      <c r="M110" s="123"/>
      <c r="N110" s="123"/>
      <c r="O110" s="140"/>
      <c r="P110" s="121" t="e">
        <f t="shared" si="15"/>
        <v>#DIV/0!</v>
      </c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95"/>
    </row>
    <row r="111" spans="1:39" ht="12.75" customHeight="1" x14ac:dyDescent="0.2">
      <c r="A111" s="95"/>
      <c r="B111" s="122"/>
      <c r="C111" s="20" t="s">
        <v>12</v>
      </c>
      <c r="D111" s="168"/>
      <c r="E111" s="157"/>
      <c r="F111" s="157"/>
      <c r="G111" s="157"/>
      <c r="H111" s="169"/>
      <c r="I111" s="144"/>
      <c r="J111" s="144"/>
      <c r="K111" s="144"/>
      <c r="L111" s="123"/>
      <c r="M111" s="123"/>
      <c r="N111" s="123"/>
      <c r="O111" s="140"/>
      <c r="P111" s="121" t="e">
        <f t="shared" si="15"/>
        <v>#DIV/0!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  <c r="AL111" s="95"/>
      <c r="AM111" s="95"/>
    </row>
    <row r="112" spans="1:39" ht="12.75" customHeight="1" x14ac:dyDescent="0.2">
      <c r="A112" s="95"/>
      <c r="B112" s="122"/>
      <c r="C112" s="20" t="s">
        <v>13</v>
      </c>
      <c r="D112" s="168"/>
      <c r="E112" s="157"/>
      <c r="F112" s="157"/>
      <c r="G112" s="157"/>
      <c r="H112" s="169"/>
      <c r="I112" s="144"/>
      <c r="J112" s="144"/>
      <c r="K112" s="144"/>
      <c r="L112" s="123"/>
      <c r="M112" s="123"/>
      <c r="N112" s="123"/>
      <c r="O112" s="140"/>
      <c r="P112" s="121" t="e">
        <f t="shared" si="15"/>
        <v>#DIV/0!</v>
      </c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  <c r="AL112" s="95"/>
      <c r="AM112" s="95"/>
    </row>
    <row r="113" spans="1:39" ht="12.75" customHeight="1" x14ac:dyDescent="0.2">
      <c r="A113" s="95"/>
      <c r="B113" s="122"/>
      <c r="C113" s="20" t="s">
        <v>14</v>
      </c>
      <c r="D113" s="168"/>
      <c r="E113" s="157"/>
      <c r="F113" s="157"/>
      <c r="G113" s="157"/>
      <c r="H113" s="169"/>
      <c r="I113" s="144">
        <v>0.95</v>
      </c>
      <c r="J113" s="144">
        <v>0.95</v>
      </c>
      <c r="K113" s="144">
        <v>0.95</v>
      </c>
      <c r="L113" s="123">
        <v>0.95</v>
      </c>
      <c r="M113" s="123">
        <v>0.95</v>
      </c>
      <c r="N113" s="123">
        <v>0.95</v>
      </c>
      <c r="O113" s="140">
        <v>0.95</v>
      </c>
      <c r="P113" s="121">
        <f t="shared" si="15"/>
        <v>0.95000000000000007</v>
      </c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  <c r="AL113" s="95"/>
      <c r="AM113" s="95"/>
    </row>
    <row r="114" spans="1:39" ht="12.75" customHeight="1" x14ac:dyDescent="0.2">
      <c r="A114" s="95"/>
      <c r="B114" s="122"/>
      <c r="C114" s="20" t="s">
        <v>15</v>
      </c>
      <c r="D114" s="168"/>
      <c r="E114" s="157"/>
      <c r="F114" s="157"/>
      <c r="G114" s="157"/>
      <c r="H114" s="169"/>
      <c r="I114" s="144"/>
      <c r="J114" s="144"/>
      <c r="K114" s="144"/>
      <c r="L114" s="123"/>
      <c r="M114" s="123"/>
      <c r="N114" s="123"/>
      <c r="O114" s="140"/>
      <c r="P114" s="121" t="e">
        <f t="shared" si="15"/>
        <v>#DIV/0!</v>
      </c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  <c r="AL114" s="95"/>
      <c r="AM114" s="95"/>
    </row>
    <row r="115" spans="1:39" ht="12.75" customHeight="1" x14ac:dyDescent="0.2">
      <c r="A115" s="95"/>
      <c r="B115" s="122"/>
      <c r="C115" s="20" t="s">
        <v>16</v>
      </c>
      <c r="D115" s="168"/>
      <c r="E115" s="157"/>
      <c r="F115" s="157"/>
      <c r="G115" s="157"/>
      <c r="H115" s="169"/>
      <c r="I115" s="144"/>
      <c r="J115" s="144"/>
      <c r="K115" s="144"/>
      <c r="L115" s="123"/>
      <c r="M115" s="123"/>
      <c r="N115" s="123"/>
      <c r="O115" s="140"/>
      <c r="P115" s="121" t="e">
        <f t="shared" si="15"/>
        <v>#DIV/0!</v>
      </c>
      <c r="Q115" s="95"/>
      <c r="R115" s="95">
        <f>SUM(D109:O115)/12</f>
        <v>0.5541666666666667</v>
      </c>
      <c r="S115" s="95">
        <f>R115*R109</f>
        <v>20143.958333333336</v>
      </c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  <c r="AL115" s="95"/>
      <c r="AM115" s="95"/>
    </row>
    <row r="116" spans="1:39" ht="12.75" customHeight="1" x14ac:dyDescent="0.2">
      <c r="A116" s="125"/>
      <c r="B116" s="126"/>
      <c r="C116" s="28" t="s">
        <v>17</v>
      </c>
      <c r="D116" s="163"/>
      <c r="E116" s="163"/>
      <c r="F116" s="163"/>
      <c r="G116" s="163"/>
      <c r="H116" s="163"/>
      <c r="I116" s="127">
        <v>0.05</v>
      </c>
      <c r="J116" s="127">
        <v>0.05</v>
      </c>
      <c r="K116" s="127">
        <v>0.05</v>
      </c>
      <c r="L116" s="127">
        <v>0.05</v>
      </c>
      <c r="M116" s="127">
        <v>0.05</v>
      </c>
      <c r="N116" s="127">
        <v>0.05</v>
      </c>
      <c r="O116" s="128">
        <v>0.05</v>
      </c>
      <c r="P116" s="129"/>
      <c r="Q116" s="95" t="s">
        <v>261</v>
      </c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95"/>
      <c r="AM116" s="95"/>
    </row>
    <row r="117" spans="1:39" ht="12.75" customHeight="1" x14ac:dyDescent="0.2">
      <c r="A117" s="95"/>
      <c r="B117" s="141" t="str">
        <f>B109</f>
        <v>Barry Hui</v>
      </c>
      <c r="C117" s="131" t="s">
        <v>241</v>
      </c>
      <c r="D117" s="132">
        <f t="shared" ref="D117:P117" si="16">SUM(D109:D116)</f>
        <v>0</v>
      </c>
      <c r="E117" s="132">
        <f t="shared" si="16"/>
        <v>0</v>
      </c>
      <c r="F117" s="132">
        <f t="shared" si="16"/>
        <v>0</v>
      </c>
      <c r="G117" s="132">
        <f t="shared" si="16"/>
        <v>0</v>
      </c>
      <c r="H117" s="132">
        <f t="shared" si="16"/>
        <v>0</v>
      </c>
      <c r="I117" s="132">
        <f t="shared" si="16"/>
        <v>1</v>
      </c>
      <c r="J117" s="132">
        <f t="shared" si="16"/>
        <v>1</v>
      </c>
      <c r="K117" s="132">
        <f t="shared" si="16"/>
        <v>1</v>
      </c>
      <c r="L117" s="132">
        <f t="shared" si="16"/>
        <v>1</v>
      </c>
      <c r="M117" s="132">
        <f t="shared" si="16"/>
        <v>1</v>
      </c>
      <c r="N117" s="132">
        <f t="shared" si="16"/>
        <v>1</v>
      </c>
      <c r="O117" s="132">
        <f t="shared" si="16"/>
        <v>1</v>
      </c>
      <c r="P117" s="132" t="e">
        <f t="shared" si="16"/>
        <v>#DIV/0!</v>
      </c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  <c r="AL117" s="95"/>
      <c r="AM117" s="95"/>
    </row>
    <row r="118" spans="1:39" ht="12.75" customHeight="1" x14ac:dyDescent="0.2">
      <c r="A118" s="95"/>
      <c r="B118" s="111" t="s">
        <v>262</v>
      </c>
      <c r="C118" s="36" t="s">
        <v>9</v>
      </c>
      <c r="D118" s="166"/>
      <c r="E118" s="166"/>
      <c r="F118" s="166"/>
      <c r="G118" s="166"/>
      <c r="H118" s="167"/>
      <c r="I118" s="150"/>
      <c r="J118" s="150"/>
      <c r="K118" s="167"/>
      <c r="L118" s="151"/>
      <c r="M118" s="151"/>
      <c r="N118" s="151"/>
      <c r="O118" s="152"/>
      <c r="P118" s="116" t="e">
        <f t="shared" ref="P118:P124" si="17">AVERAGE(D118:O118)</f>
        <v>#DIV/0!</v>
      </c>
      <c r="Q118" s="95">
        <v>1200</v>
      </c>
      <c r="R118" s="95">
        <f>Q118*1.095</f>
        <v>1314</v>
      </c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  <c r="AL118" s="95"/>
      <c r="AM118" s="95"/>
    </row>
    <row r="119" spans="1:39" ht="12.75" customHeight="1" x14ac:dyDescent="0.2">
      <c r="A119" s="95"/>
      <c r="B119" s="19" t="s">
        <v>253</v>
      </c>
      <c r="C119" s="20" t="s">
        <v>11</v>
      </c>
      <c r="D119" s="157"/>
      <c r="E119" s="157"/>
      <c r="F119" s="157"/>
      <c r="G119" s="157"/>
      <c r="H119" s="169"/>
      <c r="I119" s="144"/>
      <c r="J119" s="144"/>
      <c r="K119" s="169"/>
      <c r="L119" s="153"/>
      <c r="M119" s="153"/>
      <c r="N119" s="153"/>
      <c r="O119" s="154"/>
      <c r="P119" s="121" t="e">
        <f t="shared" si="17"/>
        <v>#DIV/0!</v>
      </c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  <c r="AL119" s="95"/>
      <c r="AM119" s="95"/>
    </row>
    <row r="120" spans="1:39" ht="12.75" customHeight="1" x14ac:dyDescent="0.2">
      <c r="A120" s="95"/>
      <c r="B120" s="122"/>
      <c r="C120" s="20" t="s">
        <v>12</v>
      </c>
      <c r="D120" s="157"/>
      <c r="E120" s="157"/>
      <c r="F120" s="157"/>
      <c r="G120" s="157"/>
      <c r="H120" s="169"/>
      <c r="I120" s="144"/>
      <c r="J120" s="144"/>
      <c r="K120" s="169"/>
      <c r="L120" s="153"/>
      <c r="M120" s="153"/>
      <c r="N120" s="153"/>
      <c r="O120" s="154"/>
      <c r="P120" s="121" t="e">
        <f t="shared" si="17"/>
        <v>#DIV/0!</v>
      </c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  <c r="AL120" s="95"/>
      <c r="AM120" s="95"/>
    </row>
    <row r="121" spans="1:39" ht="12.75" customHeight="1" x14ac:dyDescent="0.2">
      <c r="A121" s="95"/>
      <c r="B121" s="122"/>
      <c r="C121" s="20" t="s">
        <v>13</v>
      </c>
      <c r="D121" s="157"/>
      <c r="E121" s="157"/>
      <c r="F121" s="157"/>
      <c r="G121" s="157"/>
      <c r="H121" s="169"/>
      <c r="I121" s="144"/>
      <c r="J121" s="144"/>
      <c r="K121" s="169"/>
      <c r="L121" s="153"/>
      <c r="M121" s="153"/>
      <c r="N121" s="153"/>
      <c r="O121" s="154"/>
      <c r="P121" s="121" t="e">
        <f t="shared" si="17"/>
        <v>#DIV/0!</v>
      </c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  <c r="AL121" s="95"/>
      <c r="AM121" s="95"/>
    </row>
    <row r="122" spans="1:39" ht="12.75" customHeight="1" x14ac:dyDescent="0.2">
      <c r="A122" s="95"/>
      <c r="B122" s="122"/>
      <c r="C122" s="20" t="s">
        <v>14</v>
      </c>
      <c r="D122" s="157"/>
      <c r="E122" s="157"/>
      <c r="F122" s="157"/>
      <c r="G122" s="157"/>
      <c r="H122" s="169"/>
      <c r="I122" s="144">
        <v>0.75</v>
      </c>
      <c r="J122" s="144">
        <v>0.75</v>
      </c>
      <c r="K122" s="169"/>
      <c r="L122" s="153"/>
      <c r="M122" s="153"/>
      <c r="N122" s="153"/>
      <c r="O122" s="154"/>
      <c r="P122" s="121">
        <f t="shared" si="17"/>
        <v>0.75</v>
      </c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  <c r="AL122" s="95"/>
      <c r="AM122" s="95"/>
    </row>
    <row r="123" spans="1:39" ht="12.75" customHeight="1" x14ac:dyDescent="0.2">
      <c r="A123" s="95"/>
      <c r="B123" s="122"/>
      <c r="C123" s="20" t="s">
        <v>15</v>
      </c>
      <c r="D123" s="157"/>
      <c r="E123" s="157"/>
      <c r="F123" s="157"/>
      <c r="G123" s="157"/>
      <c r="H123" s="169"/>
      <c r="I123" s="144"/>
      <c r="J123" s="144"/>
      <c r="K123" s="169"/>
      <c r="L123" s="153"/>
      <c r="M123" s="153"/>
      <c r="N123" s="153"/>
      <c r="O123" s="154"/>
      <c r="P123" s="121" t="e">
        <f t="shared" si="17"/>
        <v>#DIV/0!</v>
      </c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  <c r="AL123" s="95"/>
      <c r="AM123" s="95"/>
    </row>
    <row r="124" spans="1:39" ht="12.75" customHeight="1" x14ac:dyDescent="0.2">
      <c r="A124" s="95"/>
      <c r="B124" s="122"/>
      <c r="C124" s="20" t="s">
        <v>16</v>
      </c>
      <c r="D124" s="157"/>
      <c r="E124" s="157"/>
      <c r="F124" s="157"/>
      <c r="G124" s="157"/>
      <c r="H124" s="169"/>
      <c r="I124" s="144"/>
      <c r="J124" s="144"/>
      <c r="K124" s="169"/>
      <c r="L124" s="153"/>
      <c r="M124" s="153"/>
      <c r="N124" s="153"/>
      <c r="O124" s="154"/>
      <c r="P124" s="121" t="e">
        <f t="shared" si="17"/>
        <v>#DIV/0!</v>
      </c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  <c r="AL124" s="95"/>
      <c r="AM124" s="95"/>
    </row>
    <row r="125" spans="1:39" ht="12.75" customHeight="1" x14ac:dyDescent="0.2">
      <c r="A125" s="125"/>
      <c r="B125" s="126"/>
      <c r="C125" s="28" t="s">
        <v>17</v>
      </c>
      <c r="D125" s="163"/>
      <c r="E125" s="163"/>
      <c r="F125" s="163"/>
      <c r="G125" s="163"/>
      <c r="H125" s="163"/>
      <c r="I125" s="127">
        <v>0.25</v>
      </c>
      <c r="J125" s="127">
        <v>0.25</v>
      </c>
      <c r="K125" s="163"/>
      <c r="L125" s="163"/>
      <c r="M125" s="163"/>
      <c r="N125" s="163"/>
      <c r="O125" s="164"/>
      <c r="P125" s="129"/>
      <c r="Q125" s="95"/>
      <c r="R125" s="95">
        <f>SUM(D119:O125)/12</f>
        <v>0.16666666666666666</v>
      </c>
      <c r="S125" s="95">
        <f>R125*R119</f>
        <v>0</v>
      </c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  <c r="AL125" s="95"/>
      <c r="AM125" s="95"/>
    </row>
    <row r="126" spans="1:39" ht="12.75" customHeight="1" x14ac:dyDescent="0.2">
      <c r="A126" s="95"/>
      <c r="B126" s="141" t="str">
        <f>B118</f>
        <v>Charles</v>
      </c>
      <c r="C126" s="131" t="s">
        <v>241</v>
      </c>
      <c r="D126" s="132">
        <f t="shared" ref="D126:O126" si="18">SUM(D118:D125)</f>
        <v>0</v>
      </c>
      <c r="E126" s="132">
        <f t="shared" si="18"/>
        <v>0</v>
      </c>
      <c r="F126" s="132">
        <f t="shared" si="18"/>
        <v>0</v>
      </c>
      <c r="G126" s="132">
        <f t="shared" si="18"/>
        <v>0</v>
      </c>
      <c r="H126" s="132">
        <f t="shared" si="18"/>
        <v>0</v>
      </c>
      <c r="I126" s="132">
        <f t="shared" si="18"/>
        <v>1</v>
      </c>
      <c r="J126" s="132">
        <f t="shared" si="18"/>
        <v>1</v>
      </c>
      <c r="K126" s="132">
        <f t="shared" si="18"/>
        <v>0</v>
      </c>
      <c r="L126" s="132">
        <f t="shared" si="18"/>
        <v>0</v>
      </c>
      <c r="M126" s="132">
        <f t="shared" si="18"/>
        <v>0</v>
      </c>
      <c r="N126" s="132">
        <f t="shared" si="18"/>
        <v>0</v>
      </c>
      <c r="O126" s="132">
        <f t="shared" si="18"/>
        <v>0</v>
      </c>
      <c r="P126" s="155">
        <f t="shared" ref="P126:P133" si="19">AVERAGE(D126:O126)</f>
        <v>0.16666666666666666</v>
      </c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</row>
    <row r="127" spans="1:39" ht="12.75" customHeight="1" x14ac:dyDescent="0.2">
      <c r="A127" s="95"/>
      <c r="B127" s="142" t="s">
        <v>263</v>
      </c>
      <c r="C127" s="13" t="s">
        <v>9</v>
      </c>
      <c r="D127" s="157"/>
      <c r="E127" s="157"/>
      <c r="F127" s="157"/>
      <c r="G127" s="157"/>
      <c r="H127" s="169"/>
      <c r="I127" s="169"/>
      <c r="J127" s="169"/>
      <c r="K127" s="169"/>
      <c r="L127" s="123"/>
      <c r="M127" s="123"/>
      <c r="N127" s="123"/>
      <c r="O127" s="140"/>
      <c r="P127" s="145" t="e">
        <f t="shared" si="19"/>
        <v>#DIV/0!</v>
      </c>
      <c r="Q127" s="95">
        <v>50000</v>
      </c>
      <c r="R127" s="95">
        <f>Q127*1.095</f>
        <v>54750</v>
      </c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</row>
    <row r="128" spans="1:39" ht="12.75" customHeight="1" x14ac:dyDescent="0.2">
      <c r="A128" s="95"/>
      <c r="B128" s="19" t="s">
        <v>264</v>
      </c>
      <c r="C128" s="20" t="s">
        <v>11</v>
      </c>
      <c r="D128" s="157"/>
      <c r="E128" s="157"/>
      <c r="F128" s="157"/>
      <c r="G128" s="157"/>
      <c r="H128" s="169"/>
      <c r="I128" s="169"/>
      <c r="J128" s="169"/>
      <c r="K128" s="169"/>
      <c r="L128" s="123">
        <v>0.3</v>
      </c>
      <c r="M128" s="123">
        <v>0.3</v>
      </c>
      <c r="N128" s="123">
        <v>0.3</v>
      </c>
      <c r="O128" s="140">
        <v>0.3</v>
      </c>
      <c r="P128" s="121">
        <f t="shared" si="19"/>
        <v>0.3</v>
      </c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</row>
    <row r="129" spans="1:39" ht="12.75" customHeight="1" x14ac:dyDescent="0.2">
      <c r="A129" s="95"/>
      <c r="B129" s="122"/>
      <c r="C129" s="20" t="s">
        <v>12</v>
      </c>
      <c r="D129" s="157"/>
      <c r="E129" s="157"/>
      <c r="F129" s="157"/>
      <c r="G129" s="157"/>
      <c r="H129" s="169"/>
      <c r="I129" s="169"/>
      <c r="J129" s="169"/>
      <c r="K129" s="169"/>
      <c r="L129" s="123">
        <v>0.3</v>
      </c>
      <c r="M129" s="123">
        <v>0.3</v>
      </c>
      <c r="N129" s="123">
        <v>0.3</v>
      </c>
      <c r="O129" s="140">
        <v>0.3</v>
      </c>
      <c r="P129" s="121">
        <f t="shared" si="19"/>
        <v>0.3</v>
      </c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</row>
    <row r="130" spans="1:39" ht="12.75" customHeight="1" x14ac:dyDescent="0.2">
      <c r="A130" s="95"/>
      <c r="B130" s="122"/>
      <c r="C130" s="20" t="s">
        <v>13</v>
      </c>
      <c r="D130" s="157"/>
      <c r="E130" s="157"/>
      <c r="F130" s="157"/>
      <c r="G130" s="157"/>
      <c r="H130" s="169"/>
      <c r="I130" s="169"/>
      <c r="J130" s="169"/>
      <c r="K130" s="169"/>
      <c r="L130" s="123">
        <v>0.2</v>
      </c>
      <c r="M130" s="123">
        <v>0.2</v>
      </c>
      <c r="N130" s="123">
        <v>0.2</v>
      </c>
      <c r="O130" s="140">
        <v>0.2</v>
      </c>
      <c r="P130" s="121">
        <f t="shared" si="19"/>
        <v>0.2</v>
      </c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</row>
    <row r="131" spans="1:39" ht="12.75" customHeight="1" x14ac:dyDescent="0.2">
      <c r="A131" s="95"/>
      <c r="B131" s="122"/>
      <c r="C131" s="20" t="s">
        <v>14</v>
      </c>
      <c r="D131" s="157"/>
      <c r="E131" s="157"/>
      <c r="F131" s="157"/>
      <c r="G131" s="157"/>
      <c r="H131" s="169"/>
      <c r="I131" s="169"/>
      <c r="J131" s="169"/>
      <c r="K131" s="169"/>
      <c r="L131" s="123"/>
      <c r="M131" s="123"/>
      <c r="N131" s="123"/>
      <c r="O131" s="140"/>
      <c r="P131" s="121" t="e">
        <f t="shared" si="19"/>
        <v>#DIV/0!</v>
      </c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</row>
    <row r="132" spans="1:39" ht="12.75" customHeight="1" x14ac:dyDescent="0.2">
      <c r="A132" s="95"/>
      <c r="B132" s="122"/>
      <c r="C132" s="20" t="s">
        <v>15</v>
      </c>
      <c r="D132" s="157"/>
      <c r="E132" s="157"/>
      <c r="F132" s="157"/>
      <c r="G132" s="157"/>
      <c r="H132" s="169"/>
      <c r="I132" s="169"/>
      <c r="J132" s="169"/>
      <c r="K132" s="169"/>
      <c r="L132" s="123">
        <v>0.1</v>
      </c>
      <c r="M132" s="123">
        <v>0.1</v>
      </c>
      <c r="N132" s="123">
        <v>0.05</v>
      </c>
      <c r="O132" s="140"/>
      <c r="P132" s="121">
        <f t="shared" si="19"/>
        <v>8.3333333333333329E-2</v>
      </c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  <c r="AL132" s="95"/>
      <c r="AM132" s="95"/>
    </row>
    <row r="133" spans="1:39" ht="12.75" customHeight="1" x14ac:dyDescent="0.2">
      <c r="A133" s="95"/>
      <c r="B133" s="122"/>
      <c r="C133" s="20" t="s">
        <v>16</v>
      </c>
      <c r="D133" s="157"/>
      <c r="E133" s="157"/>
      <c r="F133" s="157"/>
      <c r="G133" s="157"/>
      <c r="H133" s="169"/>
      <c r="I133" s="169"/>
      <c r="J133" s="169"/>
      <c r="K133" s="169"/>
      <c r="L133" s="123"/>
      <c r="M133" s="123"/>
      <c r="N133" s="123"/>
      <c r="O133" s="140"/>
      <c r="P133" s="121" t="e">
        <f t="shared" si="19"/>
        <v>#DIV/0!</v>
      </c>
      <c r="Q133" s="95"/>
      <c r="R133" s="95">
        <f>SUM(D127:O133)/12</f>
        <v>0.28750000000000003</v>
      </c>
      <c r="S133" s="95">
        <f>R133*R127</f>
        <v>15740.625000000002</v>
      </c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  <c r="AL133" s="95"/>
      <c r="AM133" s="95"/>
    </row>
    <row r="134" spans="1:39" ht="12.75" customHeight="1" x14ac:dyDescent="0.2">
      <c r="A134" s="125"/>
      <c r="B134" s="126"/>
      <c r="C134" s="28" t="s">
        <v>17</v>
      </c>
      <c r="D134" s="163"/>
      <c r="E134" s="163"/>
      <c r="F134" s="163"/>
      <c r="G134" s="163"/>
      <c r="H134" s="163"/>
      <c r="I134" s="163"/>
      <c r="J134" s="163"/>
      <c r="K134" s="163"/>
      <c r="L134" s="127">
        <v>0.1</v>
      </c>
      <c r="M134" s="127">
        <v>0.1</v>
      </c>
      <c r="N134" s="127">
        <v>0.15</v>
      </c>
      <c r="O134" s="128">
        <v>0.2</v>
      </c>
      <c r="P134" s="129"/>
      <c r="Q134" s="95" t="s">
        <v>246</v>
      </c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  <c r="AL134" s="95"/>
      <c r="AM134" s="95"/>
    </row>
    <row r="135" spans="1:39" ht="12.75" customHeight="1" x14ac:dyDescent="0.2">
      <c r="A135" s="95"/>
      <c r="B135" s="146" t="str">
        <f>B127</f>
        <v>Dr Eric Bau</v>
      </c>
      <c r="C135" s="147" t="s">
        <v>241</v>
      </c>
      <c r="D135" s="148">
        <f t="shared" ref="D135:O135" si="20">SUM(D127:D134)</f>
        <v>0</v>
      </c>
      <c r="E135" s="148">
        <f t="shared" si="20"/>
        <v>0</v>
      </c>
      <c r="F135" s="148">
        <f t="shared" si="20"/>
        <v>0</v>
      </c>
      <c r="G135" s="148">
        <f t="shared" si="20"/>
        <v>0</v>
      </c>
      <c r="H135" s="148">
        <f t="shared" si="20"/>
        <v>0</v>
      </c>
      <c r="I135" s="148">
        <f t="shared" si="20"/>
        <v>0</v>
      </c>
      <c r="J135" s="148">
        <f t="shared" si="20"/>
        <v>0</v>
      </c>
      <c r="K135" s="148">
        <f t="shared" si="20"/>
        <v>0</v>
      </c>
      <c r="L135" s="148">
        <f t="shared" si="20"/>
        <v>1</v>
      </c>
      <c r="M135" s="148">
        <f t="shared" si="20"/>
        <v>1</v>
      </c>
      <c r="N135" s="148">
        <f t="shared" si="20"/>
        <v>1</v>
      </c>
      <c r="O135" s="148">
        <f t="shared" si="20"/>
        <v>1</v>
      </c>
      <c r="P135" s="129">
        <f t="shared" ref="P135:P142" si="21">AVERAGE(D135:O135)</f>
        <v>0.33333333333333331</v>
      </c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  <c r="AL135" s="95"/>
      <c r="AM135" s="95"/>
    </row>
    <row r="136" spans="1:39" ht="12.75" customHeight="1" x14ac:dyDescent="0.2">
      <c r="A136" s="95"/>
      <c r="B136" s="142" t="s">
        <v>265</v>
      </c>
      <c r="C136" s="13" t="s">
        <v>9</v>
      </c>
      <c r="D136" s="157"/>
      <c r="E136" s="157"/>
      <c r="F136" s="157"/>
      <c r="G136" s="157"/>
      <c r="H136" s="169"/>
      <c r="I136" s="169"/>
      <c r="J136" s="169"/>
      <c r="K136" s="169"/>
      <c r="L136" s="123"/>
      <c r="M136" s="123"/>
      <c r="N136" s="123"/>
      <c r="O136" s="140"/>
      <c r="P136" s="145" t="e">
        <f t="shared" si="21"/>
        <v>#DIV/0!</v>
      </c>
      <c r="Q136" s="95"/>
      <c r="R136" s="95">
        <v>30801</v>
      </c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95"/>
      <c r="AM136" s="95"/>
    </row>
    <row r="137" spans="1:39" ht="12.75" customHeight="1" x14ac:dyDescent="0.2">
      <c r="A137" s="95"/>
      <c r="B137" s="19" t="s">
        <v>250</v>
      </c>
      <c r="C137" s="20" t="s">
        <v>11</v>
      </c>
      <c r="D137" s="157"/>
      <c r="E137" s="157"/>
      <c r="F137" s="157"/>
      <c r="G137" s="157"/>
      <c r="H137" s="169"/>
      <c r="I137" s="169"/>
      <c r="J137" s="169"/>
      <c r="K137" s="169"/>
      <c r="L137" s="123"/>
      <c r="M137" s="123"/>
      <c r="N137" s="123"/>
      <c r="O137" s="140"/>
      <c r="P137" s="121" t="e">
        <f t="shared" si="21"/>
        <v>#DIV/0!</v>
      </c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  <c r="AL137" s="95"/>
      <c r="AM137" s="95"/>
    </row>
    <row r="138" spans="1:39" ht="12.75" customHeight="1" x14ac:dyDescent="0.2">
      <c r="A138" s="95"/>
      <c r="B138" s="122"/>
      <c r="C138" s="20" t="s">
        <v>12</v>
      </c>
      <c r="D138" s="157"/>
      <c r="E138" s="157"/>
      <c r="F138" s="157"/>
      <c r="G138" s="157"/>
      <c r="H138" s="169"/>
      <c r="I138" s="169"/>
      <c r="J138" s="169"/>
      <c r="K138" s="169"/>
      <c r="L138" s="123"/>
      <c r="M138" s="123"/>
      <c r="N138" s="123"/>
      <c r="O138" s="140"/>
      <c r="P138" s="121" t="e">
        <f t="shared" si="21"/>
        <v>#DIV/0!</v>
      </c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  <c r="AL138" s="95"/>
      <c r="AM138" s="95"/>
    </row>
    <row r="139" spans="1:39" ht="12.75" customHeight="1" x14ac:dyDescent="0.2">
      <c r="A139" s="95"/>
      <c r="B139" s="122"/>
      <c r="C139" s="20" t="s">
        <v>13</v>
      </c>
      <c r="D139" s="157"/>
      <c r="E139" s="157"/>
      <c r="F139" s="157"/>
      <c r="G139" s="157"/>
      <c r="H139" s="169"/>
      <c r="I139" s="169"/>
      <c r="J139" s="169"/>
      <c r="K139" s="169"/>
      <c r="L139" s="123">
        <v>0.95</v>
      </c>
      <c r="M139" s="123">
        <v>0.95</v>
      </c>
      <c r="N139" s="123">
        <v>0.95</v>
      </c>
      <c r="O139" s="140">
        <v>0.95</v>
      </c>
      <c r="P139" s="121">
        <f t="shared" si="21"/>
        <v>0.95</v>
      </c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  <c r="AL139" s="95"/>
      <c r="AM139" s="95"/>
    </row>
    <row r="140" spans="1:39" ht="12.75" customHeight="1" x14ac:dyDescent="0.2">
      <c r="A140" s="95"/>
      <c r="B140" s="122"/>
      <c r="C140" s="20" t="s">
        <v>14</v>
      </c>
      <c r="D140" s="157"/>
      <c r="E140" s="157"/>
      <c r="F140" s="157"/>
      <c r="G140" s="157"/>
      <c r="H140" s="169"/>
      <c r="I140" s="169"/>
      <c r="J140" s="169"/>
      <c r="K140" s="169"/>
      <c r="L140" s="123"/>
      <c r="M140" s="123"/>
      <c r="N140" s="123"/>
      <c r="O140" s="140"/>
      <c r="P140" s="121" t="e">
        <f t="shared" si="21"/>
        <v>#DIV/0!</v>
      </c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  <c r="AL140" s="95"/>
      <c r="AM140" s="95"/>
    </row>
    <row r="141" spans="1:39" ht="12.75" customHeight="1" x14ac:dyDescent="0.2">
      <c r="A141" s="95"/>
      <c r="B141" s="122"/>
      <c r="C141" s="20" t="s">
        <v>15</v>
      </c>
      <c r="D141" s="157"/>
      <c r="E141" s="157"/>
      <c r="F141" s="157"/>
      <c r="G141" s="157"/>
      <c r="H141" s="169"/>
      <c r="I141" s="169"/>
      <c r="J141" s="169"/>
      <c r="K141" s="169"/>
      <c r="L141" s="123"/>
      <c r="M141" s="123"/>
      <c r="N141" s="123"/>
      <c r="O141" s="140"/>
      <c r="P141" s="121" t="e">
        <f t="shared" si="21"/>
        <v>#DIV/0!</v>
      </c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  <c r="AL141" s="95"/>
      <c r="AM141" s="95"/>
    </row>
    <row r="142" spans="1:39" ht="12.75" customHeight="1" x14ac:dyDescent="0.2">
      <c r="A142" s="95"/>
      <c r="B142" s="122"/>
      <c r="C142" s="20" t="s">
        <v>16</v>
      </c>
      <c r="D142" s="157"/>
      <c r="E142" s="157"/>
      <c r="F142" s="157"/>
      <c r="G142" s="157"/>
      <c r="H142" s="169"/>
      <c r="I142" s="169"/>
      <c r="J142" s="169"/>
      <c r="K142" s="169"/>
      <c r="L142" s="123"/>
      <c r="M142" s="123"/>
      <c r="N142" s="123"/>
      <c r="O142" s="140"/>
      <c r="P142" s="121" t="e">
        <f t="shared" si="21"/>
        <v>#DIV/0!</v>
      </c>
      <c r="Q142" s="95"/>
      <c r="R142" s="95">
        <f>SUM(D136:O142)/12</f>
        <v>0.31666666666666665</v>
      </c>
      <c r="S142" s="95">
        <f>R142*R136</f>
        <v>9753.65</v>
      </c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  <c r="AL142" s="95"/>
      <c r="AM142" s="95"/>
    </row>
    <row r="143" spans="1:39" ht="12.75" customHeight="1" x14ac:dyDescent="0.2">
      <c r="A143" s="125"/>
      <c r="B143" s="126"/>
      <c r="C143" s="28" t="s">
        <v>17</v>
      </c>
      <c r="D143" s="163"/>
      <c r="E143" s="163"/>
      <c r="F143" s="163"/>
      <c r="G143" s="163"/>
      <c r="H143" s="163"/>
      <c r="I143" s="163"/>
      <c r="J143" s="163"/>
      <c r="K143" s="163"/>
      <c r="L143" s="127">
        <v>0.05</v>
      </c>
      <c r="M143" s="127">
        <v>0.05</v>
      </c>
      <c r="N143" s="127">
        <v>0.05</v>
      </c>
      <c r="O143" s="128">
        <v>0.05</v>
      </c>
      <c r="P143" s="129"/>
      <c r="Q143" s="95" t="s">
        <v>261</v>
      </c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  <c r="AL143" s="95"/>
      <c r="AM143" s="95"/>
    </row>
    <row r="144" spans="1:39" ht="12.75" customHeight="1" x14ac:dyDescent="0.2">
      <c r="A144" s="95"/>
      <c r="B144" s="146" t="str">
        <f>B136</f>
        <v>Mina Marcus</v>
      </c>
      <c r="C144" s="147" t="s">
        <v>241</v>
      </c>
      <c r="D144" s="148">
        <f t="shared" ref="D144:O144" si="22">SUM(D136:D143)</f>
        <v>0</v>
      </c>
      <c r="E144" s="148">
        <f t="shared" si="22"/>
        <v>0</v>
      </c>
      <c r="F144" s="148">
        <f t="shared" si="22"/>
        <v>0</v>
      </c>
      <c r="G144" s="148">
        <f t="shared" si="22"/>
        <v>0</v>
      </c>
      <c r="H144" s="148">
        <f t="shared" si="22"/>
        <v>0</v>
      </c>
      <c r="I144" s="148">
        <f t="shared" si="22"/>
        <v>0</v>
      </c>
      <c r="J144" s="148">
        <f t="shared" si="22"/>
        <v>0</v>
      </c>
      <c r="K144" s="148">
        <f t="shared" si="22"/>
        <v>0</v>
      </c>
      <c r="L144" s="148">
        <f t="shared" si="22"/>
        <v>1</v>
      </c>
      <c r="M144" s="148">
        <f t="shared" si="22"/>
        <v>1</v>
      </c>
      <c r="N144" s="148">
        <f t="shared" si="22"/>
        <v>1</v>
      </c>
      <c r="O144" s="148">
        <f t="shared" si="22"/>
        <v>1</v>
      </c>
      <c r="P144" s="129">
        <f t="shared" ref="P144:P151" si="23">AVERAGE(D144:O144)</f>
        <v>0.33333333333333331</v>
      </c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  <c r="AL144" s="95"/>
      <c r="AM144" s="95"/>
    </row>
    <row r="145" spans="1:39" ht="12.75" customHeight="1" x14ac:dyDescent="0.2">
      <c r="A145" s="95"/>
      <c r="B145" s="142" t="s">
        <v>266</v>
      </c>
      <c r="C145" s="13" t="s">
        <v>9</v>
      </c>
      <c r="D145" s="157"/>
      <c r="E145" s="157"/>
      <c r="F145" s="157"/>
      <c r="G145" s="157"/>
      <c r="H145" s="169"/>
      <c r="I145" s="169"/>
      <c r="J145" s="169"/>
      <c r="K145" s="169"/>
      <c r="L145" s="123"/>
      <c r="M145" s="123"/>
      <c r="N145" s="123"/>
      <c r="O145" s="140"/>
      <c r="P145" s="145" t="e">
        <f t="shared" si="23"/>
        <v>#DIV/0!</v>
      </c>
      <c r="Q145" s="95"/>
      <c r="R145" s="95">
        <v>22551</v>
      </c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  <c r="AL145" s="95"/>
      <c r="AM145" s="95"/>
    </row>
    <row r="146" spans="1:39" ht="12.75" customHeight="1" x14ac:dyDescent="0.2">
      <c r="A146" s="95"/>
      <c r="B146" s="19" t="s">
        <v>250</v>
      </c>
      <c r="C146" s="20" t="s">
        <v>11</v>
      </c>
      <c r="D146" s="157"/>
      <c r="E146" s="157"/>
      <c r="F146" s="157"/>
      <c r="G146" s="157"/>
      <c r="H146" s="169"/>
      <c r="I146" s="169"/>
      <c r="J146" s="169"/>
      <c r="K146" s="169"/>
      <c r="L146" s="123"/>
      <c r="M146" s="123"/>
      <c r="N146" s="123"/>
      <c r="O146" s="140"/>
      <c r="P146" s="121" t="e">
        <f t="shared" si="23"/>
        <v>#DIV/0!</v>
      </c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  <c r="AL146" s="95"/>
      <c r="AM146" s="95"/>
    </row>
    <row r="147" spans="1:39" ht="12.75" customHeight="1" x14ac:dyDescent="0.2">
      <c r="A147" s="95"/>
      <c r="B147" s="122"/>
      <c r="C147" s="20" t="s">
        <v>12</v>
      </c>
      <c r="D147" s="157"/>
      <c r="E147" s="157"/>
      <c r="F147" s="157"/>
      <c r="G147" s="157"/>
      <c r="H147" s="169"/>
      <c r="I147" s="169"/>
      <c r="J147" s="169"/>
      <c r="K147" s="169"/>
      <c r="L147" s="123"/>
      <c r="M147" s="123"/>
      <c r="N147" s="123"/>
      <c r="O147" s="140"/>
      <c r="P147" s="121" t="e">
        <f t="shared" si="23"/>
        <v>#DIV/0!</v>
      </c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  <c r="AL147" s="95"/>
      <c r="AM147" s="95"/>
    </row>
    <row r="148" spans="1:39" ht="12.75" customHeight="1" x14ac:dyDescent="0.2">
      <c r="A148" s="95"/>
      <c r="B148" s="122"/>
      <c r="C148" s="20" t="s">
        <v>13</v>
      </c>
      <c r="D148" s="157"/>
      <c r="E148" s="157"/>
      <c r="F148" s="157"/>
      <c r="G148" s="157"/>
      <c r="H148" s="169"/>
      <c r="I148" s="169"/>
      <c r="J148" s="169"/>
      <c r="K148" s="169"/>
      <c r="L148" s="123">
        <v>0.95</v>
      </c>
      <c r="M148" s="123">
        <v>0.95</v>
      </c>
      <c r="N148" s="123">
        <v>0.95</v>
      </c>
      <c r="O148" s="140">
        <v>0.95</v>
      </c>
      <c r="P148" s="121">
        <f t="shared" si="23"/>
        <v>0.95</v>
      </c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  <c r="AL148" s="95"/>
      <c r="AM148" s="95"/>
    </row>
    <row r="149" spans="1:39" ht="12.75" customHeight="1" x14ac:dyDescent="0.2">
      <c r="A149" s="95"/>
      <c r="B149" s="122"/>
      <c r="C149" s="20" t="s">
        <v>14</v>
      </c>
      <c r="D149" s="157"/>
      <c r="E149" s="157"/>
      <c r="F149" s="157"/>
      <c r="G149" s="157"/>
      <c r="H149" s="169"/>
      <c r="I149" s="169"/>
      <c r="J149" s="169"/>
      <c r="K149" s="169"/>
      <c r="L149" s="123"/>
      <c r="M149" s="123"/>
      <c r="N149" s="123"/>
      <c r="O149" s="140"/>
      <c r="P149" s="121" t="e">
        <f t="shared" si="23"/>
        <v>#DIV/0!</v>
      </c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  <c r="AL149" s="95"/>
      <c r="AM149" s="95"/>
    </row>
    <row r="150" spans="1:39" ht="12.75" customHeight="1" x14ac:dyDescent="0.2">
      <c r="A150" s="95"/>
      <c r="B150" s="122"/>
      <c r="C150" s="20" t="s">
        <v>15</v>
      </c>
      <c r="D150" s="157"/>
      <c r="E150" s="157"/>
      <c r="F150" s="157"/>
      <c r="G150" s="157"/>
      <c r="H150" s="169"/>
      <c r="I150" s="169"/>
      <c r="J150" s="169"/>
      <c r="K150" s="169"/>
      <c r="L150" s="123"/>
      <c r="M150" s="123"/>
      <c r="N150" s="123"/>
      <c r="O150" s="140"/>
      <c r="P150" s="121" t="e">
        <f t="shared" si="23"/>
        <v>#DIV/0!</v>
      </c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  <c r="AL150" s="95"/>
      <c r="AM150" s="95"/>
    </row>
    <row r="151" spans="1:39" ht="12.75" customHeight="1" x14ac:dyDescent="0.2">
      <c r="A151" s="95"/>
      <c r="B151" s="122"/>
      <c r="C151" s="20" t="s">
        <v>16</v>
      </c>
      <c r="D151" s="157"/>
      <c r="E151" s="157"/>
      <c r="F151" s="157"/>
      <c r="G151" s="157"/>
      <c r="H151" s="169"/>
      <c r="I151" s="169"/>
      <c r="J151" s="169"/>
      <c r="K151" s="169"/>
      <c r="L151" s="123"/>
      <c r="M151" s="123"/>
      <c r="N151" s="123"/>
      <c r="O151" s="140"/>
      <c r="P151" s="121" t="e">
        <f t="shared" si="23"/>
        <v>#DIV/0!</v>
      </c>
      <c r="Q151" s="95"/>
      <c r="R151" s="95">
        <f>SUM(D145:O151)/12</f>
        <v>0.31666666666666665</v>
      </c>
      <c r="S151" s="95">
        <f>R151*R145</f>
        <v>7141.15</v>
      </c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  <c r="AL151" s="95"/>
      <c r="AM151" s="95"/>
    </row>
    <row r="152" spans="1:39" ht="12.75" customHeight="1" x14ac:dyDescent="0.2">
      <c r="A152" s="125"/>
      <c r="B152" s="126"/>
      <c r="C152" s="28" t="s">
        <v>17</v>
      </c>
      <c r="D152" s="163"/>
      <c r="E152" s="163"/>
      <c r="F152" s="163"/>
      <c r="G152" s="163"/>
      <c r="H152" s="163"/>
      <c r="I152" s="163"/>
      <c r="J152" s="163"/>
      <c r="K152" s="163"/>
      <c r="L152" s="127">
        <v>0.05</v>
      </c>
      <c r="M152" s="127">
        <v>0.05</v>
      </c>
      <c r="N152" s="127">
        <v>0.05</v>
      </c>
      <c r="O152" s="128">
        <v>0.05</v>
      </c>
      <c r="P152" s="129"/>
      <c r="Q152" s="95" t="s">
        <v>261</v>
      </c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  <c r="AL152" s="95"/>
      <c r="AM152" s="95"/>
    </row>
    <row r="153" spans="1:39" ht="12.75" customHeight="1" x14ac:dyDescent="0.2">
      <c r="A153" s="95"/>
      <c r="B153" s="146" t="str">
        <f>B145</f>
        <v>Ronak Armani</v>
      </c>
      <c r="C153" s="147" t="s">
        <v>241</v>
      </c>
      <c r="D153" s="148">
        <f t="shared" ref="D153:O153" si="24">SUM(D145:D152)</f>
        <v>0</v>
      </c>
      <c r="E153" s="148">
        <f t="shared" si="24"/>
        <v>0</v>
      </c>
      <c r="F153" s="148">
        <f t="shared" si="24"/>
        <v>0</v>
      </c>
      <c r="G153" s="148">
        <f t="shared" si="24"/>
        <v>0</v>
      </c>
      <c r="H153" s="148">
        <f t="shared" si="24"/>
        <v>0</v>
      </c>
      <c r="I153" s="148">
        <f t="shared" si="24"/>
        <v>0</v>
      </c>
      <c r="J153" s="148">
        <f t="shared" si="24"/>
        <v>0</v>
      </c>
      <c r="K153" s="148">
        <f t="shared" si="24"/>
        <v>0</v>
      </c>
      <c r="L153" s="148">
        <f t="shared" si="24"/>
        <v>1</v>
      </c>
      <c r="M153" s="148">
        <f t="shared" si="24"/>
        <v>1</v>
      </c>
      <c r="N153" s="148">
        <f t="shared" si="24"/>
        <v>1</v>
      </c>
      <c r="O153" s="148">
        <f t="shared" si="24"/>
        <v>1</v>
      </c>
      <c r="P153" s="129">
        <f t="shared" ref="P153:P160" si="25">AVERAGE(D153:O153)</f>
        <v>0.33333333333333331</v>
      </c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</row>
    <row r="154" spans="1:39" ht="12.75" customHeight="1" x14ac:dyDescent="0.2">
      <c r="A154" s="95"/>
      <c r="B154" s="142" t="s">
        <v>267</v>
      </c>
      <c r="C154" s="13" t="s">
        <v>9</v>
      </c>
      <c r="D154" s="157"/>
      <c r="E154" s="157"/>
      <c r="F154" s="157"/>
      <c r="G154" s="157"/>
      <c r="H154" s="169"/>
      <c r="I154" s="169"/>
      <c r="J154" s="169"/>
      <c r="K154" s="169"/>
      <c r="L154" s="153"/>
      <c r="M154" s="153"/>
      <c r="N154" s="153"/>
      <c r="O154" s="140"/>
      <c r="P154" s="145" t="e">
        <f t="shared" si="25"/>
        <v>#DIV/0!</v>
      </c>
      <c r="Q154" s="95">
        <v>13690</v>
      </c>
      <c r="R154" s="95">
        <f>Q154*1.095</f>
        <v>14990.55</v>
      </c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  <c r="AL154" s="95"/>
      <c r="AM154" s="95"/>
    </row>
    <row r="155" spans="1:39" ht="12.75" customHeight="1" x14ac:dyDescent="0.2">
      <c r="A155" s="95"/>
      <c r="B155" s="19" t="s">
        <v>268</v>
      </c>
      <c r="C155" s="20" t="s">
        <v>11</v>
      </c>
      <c r="D155" s="157"/>
      <c r="E155" s="157"/>
      <c r="F155" s="157"/>
      <c r="G155" s="157"/>
      <c r="H155" s="169"/>
      <c r="I155" s="169"/>
      <c r="J155" s="169"/>
      <c r="K155" s="169"/>
      <c r="L155" s="153"/>
      <c r="M155" s="153"/>
      <c r="N155" s="153"/>
      <c r="O155" s="140">
        <v>0.3</v>
      </c>
      <c r="P155" s="121">
        <f t="shared" si="25"/>
        <v>0.3</v>
      </c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  <c r="AL155" s="95"/>
      <c r="AM155" s="95"/>
    </row>
    <row r="156" spans="1:39" ht="12.75" customHeight="1" x14ac:dyDescent="0.2">
      <c r="A156" s="95"/>
      <c r="B156" s="122"/>
      <c r="C156" s="20" t="s">
        <v>12</v>
      </c>
      <c r="D156" s="157"/>
      <c r="E156" s="157"/>
      <c r="F156" s="157"/>
      <c r="G156" s="157"/>
      <c r="H156" s="169"/>
      <c r="I156" s="169"/>
      <c r="J156" s="169"/>
      <c r="K156" s="169"/>
      <c r="L156" s="153"/>
      <c r="M156" s="153"/>
      <c r="N156" s="153"/>
      <c r="O156" s="140">
        <v>0.3</v>
      </c>
      <c r="P156" s="121">
        <f t="shared" si="25"/>
        <v>0.3</v>
      </c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95"/>
      <c r="AM156" s="95"/>
    </row>
    <row r="157" spans="1:39" ht="12.75" customHeight="1" x14ac:dyDescent="0.2">
      <c r="A157" s="95"/>
      <c r="B157" s="122"/>
      <c r="C157" s="20" t="s">
        <v>13</v>
      </c>
      <c r="D157" s="157"/>
      <c r="E157" s="157"/>
      <c r="F157" s="157"/>
      <c r="G157" s="157"/>
      <c r="H157" s="169"/>
      <c r="I157" s="169"/>
      <c r="J157" s="169"/>
      <c r="K157" s="169"/>
      <c r="L157" s="153"/>
      <c r="M157" s="153"/>
      <c r="N157" s="153"/>
      <c r="O157" s="140">
        <v>0.3</v>
      </c>
      <c r="P157" s="121">
        <f t="shared" si="25"/>
        <v>0.3</v>
      </c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  <c r="AL157" s="95"/>
      <c r="AM157" s="95"/>
    </row>
    <row r="158" spans="1:39" ht="12.75" customHeight="1" x14ac:dyDescent="0.2">
      <c r="A158" s="95"/>
      <c r="B158" s="122"/>
      <c r="C158" s="20" t="s">
        <v>14</v>
      </c>
      <c r="D158" s="157"/>
      <c r="E158" s="157"/>
      <c r="F158" s="157"/>
      <c r="G158" s="157"/>
      <c r="H158" s="169"/>
      <c r="I158" s="169"/>
      <c r="J158" s="169"/>
      <c r="K158" s="169"/>
      <c r="L158" s="153"/>
      <c r="M158" s="153"/>
      <c r="N158" s="153"/>
      <c r="O158" s="140"/>
      <c r="P158" s="121" t="e">
        <f t="shared" si="25"/>
        <v>#DIV/0!</v>
      </c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  <c r="AL158" s="95"/>
      <c r="AM158" s="95"/>
    </row>
    <row r="159" spans="1:39" ht="12.75" customHeight="1" x14ac:dyDescent="0.2">
      <c r="A159" s="95"/>
      <c r="B159" s="122"/>
      <c r="C159" s="20" t="s">
        <v>15</v>
      </c>
      <c r="D159" s="157"/>
      <c r="E159" s="157"/>
      <c r="F159" s="157"/>
      <c r="G159" s="157"/>
      <c r="H159" s="169"/>
      <c r="I159" s="169"/>
      <c r="J159" s="169"/>
      <c r="K159" s="169"/>
      <c r="L159" s="153"/>
      <c r="M159" s="153"/>
      <c r="N159" s="153"/>
      <c r="O159" s="140"/>
      <c r="P159" s="121" t="e">
        <f t="shared" si="25"/>
        <v>#DIV/0!</v>
      </c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  <c r="AL159" s="95"/>
      <c r="AM159" s="95"/>
    </row>
    <row r="160" spans="1:39" ht="12.75" customHeight="1" x14ac:dyDescent="0.2">
      <c r="A160" s="95"/>
      <c r="B160" s="122"/>
      <c r="C160" s="20" t="s">
        <v>16</v>
      </c>
      <c r="D160" s="157"/>
      <c r="E160" s="157"/>
      <c r="F160" s="157"/>
      <c r="G160" s="157"/>
      <c r="H160" s="169"/>
      <c r="I160" s="169"/>
      <c r="J160" s="169"/>
      <c r="K160" s="169"/>
      <c r="L160" s="153"/>
      <c r="M160" s="153"/>
      <c r="N160" s="153"/>
      <c r="O160" s="140">
        <v>0.1</v>
      </c>
      <c r="P160" s="121">
        <f t="shared" si="25"/>
        <v>0.1</v>
      </c>
      <c r="Q160" s="95"/>
      <c r="R160" s="95">
        <f>SUM(D154:O160)/12</f>
        <v>8.3333333333333329E-2</v>
      </c>
      <c r="S160" s="95">
        <f>R160*R154</f>
        <v>1249.2124999999999</v>
      </c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  <c r="AL160" s="95"/>
      <c r="AM160" s="95"/>
    </row>
    <row r="161" spans="1:39" ht="12.75" customHeight="1" x14ac:dyDescent="0.2">
      <c r="A161" s="125"/>
      <c r="B161" s="126"/>
      <c r="C161" s="28" t="s">
        <v>17</v>
      </c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28"/>
      <c r="P161" s="129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</row>
    <row r="162" spans="1:39" ht="12.75" customHeight="1" x14ac:dyDescent="0.2">
      <c r="A162" s="95"/>
      <c r="B162" s="146" t="str">
        <f>B154</f>
        <v>Dr Fei Wang</v>
      </c>
      <c r="C162" s="147" t="s">
        <v>241</v>
      </c>
      <c r="D162" s="148">
        <f t="shared" ref="D162:O162" si="26">SUM(D154:D161)</f>
        <v>0</v>
      </c>
      <c r="E162" s="148">
        <f t="shared" si="26"/>
        <v>0</v>
      </c>
      <c r="F162" s="148">
        <f t="shared" si="26"/>
        <v>0</v>
      </c>
      <c r="G162" s="148">
        <f t="shared" si="26"/>
        <v>0</v>
      </c>
      <c r="H162" s="148">
        <f t="shared" si="26"/>
        <v>0</v>
      </c>
      <c r="I162" s="148">
        <f t="shared" si="26"/>
        <v>0</v>
      </c>
      <c r="J162" s="148">
        <f t="shared" si="26"/>
        <v>0</v>
      </c>
      <c r="K162" s="148">
        <f t="shared" si="26"/>
        <v>0</v>
      </c>
      <c r="L162" s="148">
        <f t="shared" si="26"/>
        <v>0</v>
      </c>
      <c r="M162" s="148">
        <f t="shared" si="26"/>
        <v>0</v>
      </c>
      <c r="N162" s="148">
        <f t="shared" si="26"/>
        <v>0</v>
      </c>
      <c r="O162" s="148">
        <f t="shared" si="26"/>
        <v>0.99999999999999989</v>
      </c>
      <c r="P162" s="129">
        <f t="shared" ref="P162:P169" si="27">AVERAGE(D162:O162)</f>
        <v>8.3333333333333329E-2</v>
      </c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  <c r="AL162" s="95"/>
      <c r="AM162" s="95"/>
    </row>
    <row r="163" spans="1:39" ht="12.75" customHeight="1" x14ac:dyDescent="0.2">
      <c r="A163" s="95"/>
      <c r="B163" s="142" t="s">
        <v>269</v>
      </c>
      <c r="C163" s="13" t="s">
        <v>9</v>
      </c>
      <c r="D163" s="157"/>
      <c r="E163" s="157"/>
      <c r="F163" s="157"/>
      <c r="G163" s="157"/>
      <c r="H163" s="169"/>
      <c r="I163" s="144">
        <v>0.3</v>
      </c>
      <c r="J163" s="144">
        <v>0.3</v>
      </c>
      <c r="K163" s="144">
        <v>0.3</v>
      </c>
      <c r="L163" s="144">
        <v>0.3</v>
      </c>
      <c r="M163" s="144">
        <v>0.3</v>
      </c>
      <c r="N163" s="144">
        <v>0.3</v>
      </c>
      <c r="O163" s="144">
        <v>0.3</v>
      </c>
      <c r="P163" s="145">
        <f t="shared" si="27"/>
        <v>0.3</v>
      </c>
      <c r="Q163" s="95"/>
      <c r="R163" s="95">
        <f>11666*7</f>
        <v>81662</v>
      </c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95"/>
      <c r="AM163" s="95"/>
    </row>
    <row r="164" spans="1:39" ht="12.75" customHeight="1" x14ac:dyDescent="0.2">
      <c r="A164" s="95"/>
      <c r="B164" s="19" t="s">
        <v>270</v>
      </c>
      <c r="C164" s="20" t="s">
        <v>11</v>
      </c>
      <c r="D164" s="157"/>
      <c r="E164" s="157"/>
      <c r="F164" s="157"/>
      <c r="G164" s="157"/>
      <c r="H164" s="169"/>
      <c r="I164" s="144">
        <v>0.3</v>
      </c>
      <c r="J164" s="144">
        <v>0.3</v>
      </c>
      <c r="K164" s="144">
        <v>0.3</v>
      </c>
      <c r="L164" s="123">
        <v>0.3</v>
      </c>
      <c r="M164" s="123">
        <v>0.3</v>
      </c>
      <c r="N164" s="123">
        <v>0.3</v>
      </c>
      <c r="O164" s="140">
        <v>0.3</v>
      </c>
      <c r="P164" s="121">
        <f t="shared" si="27"/>
        <v>0.3</v>
      </c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  <c r="AL164" s="95"/>
      <c r="AM164" s="95"/>
    </row>
    <row r="165" spans="1:39" ht="12.75" customHeight="1" x14ac:dyDescent="0.2">
      <c r="A165" s="95"/>
      <c r="B165" s="122"/>
      <c r="C165" s="20" t="s">
        <v>12</v>
      </c>
      <c r="D165" s="157"/>
      <c r="E165" s="157"/>
      <c r="F165" s="157"/>
      <c r="G165" s="157"/>
      <c r="H165" s="169"/>
      <c r="I165" s="144">
        <v>0.3</v>
      </c>
      <c r="J165" s="144">
        <v>0.3</v>
      </c>
      <c r="K165" s="144">
        <v>0.3</v>
      </c>
      <c r="L165" s="123">
        <v>0.3</v>
      </c>
      <c r="M165" s="123">
        <v>0.3</v>
      </c>
      <c r="N165" s="123">
        <v>0.3</v>
      </c>
      <c r="O165" s="140">
        <v>0.3</v>
      </c>
      <c r="P165" s="121">
        <f t="shared" si="27"/>
        <v>0.3</v>
      </c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  <c r="AL165" s="95"/>
      <c r="AM165" s="95"/>
    </row>
    <row r="166" spans="1:39" ht="12.75" customHeight="1" x14ac:dyDescent="0.2">
      <c r="A166" s="95"/>
      <c r="B166" s="122"/>
      <c r="C166" s="20" t="s">
        <v>13</v>
      </c>
      <c r="D166" s="157"/>
      <c r="E166" s="157"/>
      <c r="F166" s="157"/>
      <c r="G166" s="157"/>
      <c r="H166" s="169"/>
      <c r="I166" s="144"/>
      <c r="J166" s="144"/>
      <c r="K166" s="144"/>
      <c r="L166" s="123"/>
      <c r="M166" s="123"/>
      <c r="N166" s="123"/>
      <c r="O166" s="140"/>
      <c r="P166" s="121" t="e">
        <f t="shared" si="27"/>
        <v>#DIV/0!</v>
      </c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  <c r="AL166" s="95"/>
      <c r="AM166" s="95"/>
    </row>
    <row r="167" spans="1:39" ht="12.75" customHeight="1" x14ac:dyDescent="0.2">
      <c r="A167" s="95"/>
      <c r="B167" s="122"/>
      <c r="C167" s="20" t="s">
        <v>14</v>
      </c>
      <c r="D167" s="157"/>
      <c r="E167" s="157"/>
      <c r="F167" s="157"/>
      <c r="G167" s="157"/>
      <c r="H167" s="169"/>
      <c r="I167" s="144"/>
      <c r="J167" s="144"/>
      <c r="K167" s="144"/>
      <c r="L167" s="123"/>
      <c r="M167" s="123"/>
      <c r="N167" s="123"/>
      <c r="O167" s="140"/>
      <c r="P167" s="121" t="e">
        <f t="shared" si="27"/>
        <v>#DIV/0!</v>
      </c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  <c r="AL167" s="95"/>
      <c r="AM167" s="95"/>
    </row>
    <row r="168" spans="1:39" ht="12.75" customHeight="1" x14ac:dyDescent="0.2">
      <c r="A168" s="95"/>
      <c r="B168" s="122"/>
      <c r="C168" s="20" t="s">
        <v>15</v>
      </c>
      <c r="D168" s="157"/>
      <c r="E168" s="157"/>
      <c r="F168" s="157"/>
      <c r="G168" s="157"/>
      <c r="H168" s="169"/>
      <c r="I168" s="144"/>
      <c r="J168" s="144"/>
      <c r="K168" s="144"/>
      <c r="L168" s="123"/>
      <c r="M168" s="123"/>
      <c r="N168" s="123"/>
      <c r="O168" s="140"/>
      <c r="P168" s="121" t="e">
        <f t="shared" si="27"/>
        <v>#DIV/0!</v>
      </c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  <c r="AL168" s="95"/>
      <c r="AM168" s="95"/>
    </row>
    <row r="169" spans="1:39" ht="12.75" customHeight="1" x14ac:dyDescent="0.2">
      <c r="A169" s="95"/>
      <c r="B169" s="122"/>
      <c r="C169" s="20" t="s">
        <v>16</v>
      </c>
      <c r="D169" s="157"/>
      <c r="E169" s="157"/>
      <c r="F169" s="157"/>
      <c r="G169" s="157"/>
      <c r="H169" s="169"/>
      <c r="I169" s="144">
        <v>0.05</v>
      </c>
      <c r="J169" s="144">
        <v>0.05</v>
      </c>
      <c r="K169" s="144">
        <v>0.05</v>
      </c>
      <c r="L169" s="123">
        <v>0.05</v>
      </c>
      <c r="M169" s="123">
        <v>0.05</v>
      </c>
      <c r="N169" s="123">
        <v>0.05</v>
      </c>
      <c r="O169" s="140">
        <v>0.05</v>
      </c>
      <c r="P169" s="121">
        <f t="shared" si="27"/>
        <v>4.9999999999999996E-2</v>
      </c>
      <c r="Q169" s="95"/>
      <c r="R169" s="95">
        <f>SUM(D163:O169)/12</f>
        <v>0.55416666666666636</v>
      </c>
      <c r="S169" s="95">
        <f>R169*R163</f>
        <v>45254.358333333308</v>
      </c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  <c r="AL169" s="95"/>
      <c r="AM169" s="95"/>
    </row>
    <row r="170" spans="1:39" ht="12.75" customHeight="1" x14ac:dyDescent="0.2">
      <c r="A170" s="125"/>
      <c r="B170" s="126"/>
      <c r="C170" s="28" t="s">
        <v>17</v>
      </c>
      <c r="D170" s="163"/>
      <c r="E170" s="163"/>
      <c r="F170" s="163"/>
      <c r="G170" s="163"/>
      <c r="H170" s="163"/>
      <c r="I170" s="144">
        <v>0.05</v>
      </c>
      <c r="J170" s="144">
        <v>0.05</v>
      </c>
      <c r="K170" s="144">
        <v>0.05</v>
      </c>
      <c r="L170" s="144">
        <v>0.05</v>
      </c>
      <c r="M170" s="144">
        <v>0.05</v>
      </c>
      <c r="N170" s="144">
        <v>0.05</v>
      </c>
      <c r="O170" s="144">
        <v>0.05</v>
      </c>
      <c r="P170" s="129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95"/>
      <c r="AM170" s="95"/>
    </row>
    <row r="171" spans="1:39" ht="12.75" customHeight="1" x14ac:dyDescent="0.2">
      <c r="A171" s="95"/>
      <c r="B171" s="146" t="str">
        <f>B163</f>
        <v>Ruth Marshall</v>
      </c>
      <c r="C171" s="147" t="s">
        <v>241</v>
      </c>
      <c r="D171" s="148">
        <f t="shared" ref="D171:O171" si="28">SUM(D163:D170)</f>
        <v>0</v>
      </c>
      <c r="E171" s="148">
        <f t="shared" si="28"/>
        <v>0</v>
      </c>
      <c r="F171" s="148">
        <f t="shared" si="28"/>
        <v>0</v>
      </c>
      <c r="G171" s="148">
        <f t="shared" si="28"/>
        <v>0</v>
      </c>
      <c r="H171" s="148">
        <f t="shared" si="28"/>
        <v>0</v>
      </c>
      <c r="I171" s="148">
        <f t="shared" si="28"/>
        <v>1</v>
      </c>
      <c r="J171" s="148">
        <f t="shared" si="28"/>
        <v>1</v>
      </c>
      <c r="K171" s="148">
        <f t="shared" si="28"/>
        <v>1</v>
      </c>
      <c r="L171" s="148">
        <f t="shared" si="28"/>
        <v>1</v>
      </c>
      <c r="M171" s="148">
        <f t="shared" si="28"/>
        <v>1</v>
      </c>
      <c r="N171" s="148">
        <f t="shared" si="28"/>
        <v>1</v>
      </c>
      <c r="O171" s="148">
        <f t="shared" si="28"/>
        <v>1</v>
      </c>
      <c r="P171" s="129">
        <f t="shared" ref="P171:P178" si="29">AVERAGE(D171:O171)</f>
        <v>0.58333333333333337</v>
      </c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  <c r="AL171" s="95"/>
      <c r="AM171" s="95"/>
    </row>
    <row r="172" spans="1:39" ht="12.75" customHeight="1" x14ac:dyDescent="0.2">
      <c r="A172" s="95"/>
      <c r="B172" s="142" t="s">
        <v>271</v>
      </c>
      <c r="C172" s="13" t="s">
        <v>9</v>
      </c>
      <c r="D172" s="157"/>
      <c r="E172" s="157"/>
      <c r="F172" s="157"/>
      <c r="G172" s="157"/>
      <c r="H172" s="169"/>
      <c r="I172" s="144"/>
      <c r="J172" s="144"/>
      <c r="K172" s="144"/>
      <c r="L172" s="123"/>
      <c r="M172" s="123">
        <v>0.4</v>
      </c>
      <c r="N172" s="123">
        <v>0.4</v>
      </c>
      <c r="O172" s="140">
        <v>0.4</v>
      </c>
      <c r="P172" s="145">
        <f t="shared" si="29"/>
        <v>0.40000000000000008</v>
      </c>
      <c r="Q172" s="95">
        <v>45208</v>
      </c>
      <c r="R172" s="95">
        <f>Q172*1.095</f>
        <v>49502.76</v>
      </c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  <c r="AL172" s="95"/>
      <c r="AM172" s="95"/>
    </row>
    <row r="173" spans="1:39" ht="12.75" customHeight="1" x14ac:dyDescent="0.2">
      <c r="A173" s="95"/>
      <c r="B173" s="19" t="s">
        <v>272</v>
      </c>
      <c r="C173" s="20" t="s">
        <v>11</v>
      </c>
      <c r="D173" s="157"/>
      <c r="E173" s="157"/>
      <c r="F173" s="157"/>
      <c r="G173" s="157"/>
      <c r="H173" s="169"/>
      <c r="I173" s="144"/>
      <c r="J173" s="144"/>
      <c r="K173" s="144"/>
      <c r="L173" s="123"/>
      <c r="M173" s="123">
        <v>0.4</v>
      </c>
      <c r="N173" s="123">
        <v>0.4</v>
      </c>
      <c r="O173" s="140">
        <v>0.4</v>
      </c>
      <c r="P173" s="121">
        <f t="shared" si="29"/>
        <v>0.40000000000000008</v>
      </c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  <c r="AL173" s="95"/>
      <c r="AM173" s="95"/>
    </row>
    <row r="174" spans="1:39" ht="12.75" customHeight="1" x14ac:dyDescent="0.2">
      <c r="A174" s="95"/>
      <c r="B174" s="122"/>
      <c r="C174" s="20" t="s">
        <v>12</v>
      </c>
      <c r="D174" s="157"/>
      <c r="E174" s="157"/>
      <c r="F174" s="157"/>
      <c r="G174" s="157"/>
      <c r="H174" s="169"/>
      <c r="I174" s="144"/>
      <c r="J174" s="144"/>
      <c r="K174" s="144"/>
      <c r="L174" s="123"/>
      <c r="M174" s="123"/>
      <c r="N174" s="123"/>
      <c r="O174" s="140"/>
      <c r="P174" s="121" t="e">
        <f t="shared" si="29"/>
        <v>#DIV/0!</v>
      </c>
      <c r="Q174" s="95" t="s">
        <v>273</v>
      </c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  <c r="AL174" s="95"/>
      <c r="AM174" s="95"/>
    </row>
    <row r="175" spans="1:39" ht="12.75" customHeight="1" x14ac:dyDescent="0.2">
      <c r="A175" s="95"/>
      <c r="B175" s="122"/>
      <c r="C175" s="20" t="s">
        <v>13</v>
      </c>
      <c r="D175" s="157"/>
      <c r="E175" s="157"/>
      <c r="F175" s="157"/>
      <c r="G175" s="157"/>
      <c r="H175" s="169"/>
      <c r="I175" s="144"/>
      <c r="J175" s="144"/>
      <c r="K175" s="144"/>
      <c r="L175" s="123"/>
      <c r="M175" s="123"/>
      <c r="N175" s="123"/>
      <c r="O175" s="140"/>
      <c r="P175" s="121" t="e">
        <f t="shared" si="29"/>
        <v>#DIV/0!</v>
      </c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  <c r="AL175" s="95"/>
      <c r="AM175" s="95"/>
    </row>
    <row r="176" spans="1:39" ht="12.75" customHeight="1" x14ac:dyDescent="0.2">
      <c r="A176" s="95"/>
      <c r="B176" s="122"/>
      <c r="C176" s="20" t="s">
        <v>14</v>
      </c>
      <c r="D176" s="157"/>
      <c r="E176" s="157"/>
      <c r="F176" s="157"/>
      <c r="G176" s="157"/>
      <c r="H176" s="169"/>
      <c r="I176" s="144"/>
      <c r="J176" s="144"/>
      <c r="K176" s="144"/>
      <c r="L176" s="123"/>
      <c r="M176" s="123"/>
      <c r="N176" s="123"/>
      <c r="O176" s="140"/>
      <c r="P176" s="121" t="e">
        <f t="shared" si="29"/>
        <v>#DIV/0!</v>
      </c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  <c r="AL176" s="95"/>
      <c r="AM176" s="95"/>
    </row>
    <row r="177" spans="1:39" ht="12.75" customHeight="1" x14ac:dyDescent="0.2">
      <c r="A177" s="95"/>
      <c r="B177" s="122"/>
      <c r="C177" s="20" t="s">
        <v>15</v>
      </c>
      <c r="D177" s="157"/>
      <c r="E177" s="157"/>
      <c r="F177" s="157"/>
      <c r="G177" s="157"/>
      <c r="H177" s="169"/>
      <c r="I177" s="144"/>
      <c r="J177" s="144"/>
      <c r="K177" s="144"/>
      <c r="L177" s="123"/>
      <c r="M177" s="123">
        <v>0.1</v>
      </c>
      <c r="N177" s="123">
        <v>0.1</v>
      </c>
      <c r="O177" s="140">
        <v>0.1</v>
      </c>
      <c r="P177" s="121">
        <f t="shared" si="29"/>
        <v>0.10000000000000002</v>
      </c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  <c r="AL177" s="95"/>
      <c r="AM177" s="95"/>
    </row>
    <row r="178" spans="1:39" ht="12.75" customHeight="1" x14ac:dyDescent="0.2">
      <c r="A178" s="95"/>
      <c r="B178" s="122"/>
      <c r="C178" s="20" t="s">
        <v>16</v>
      </c>
      <c r="D178" s="157"/>
      <c r="E178" s="157"/>
      <c r="F178" s="157"/>
      <c r="G178" s="157"/>
      <c r="H178" s="169"/>
      <c r="I178" s="144"/>
      <c r="J178" s="144"/>
      <c r="K178" s="144"/>
      <c r="L178" s="123"/>
      <c r="M178" s="123"/>
      <c r="N178" s="123"/>
      <c r="O178" s="140"/>
      <c r="P178" s="121" t="e">
        <f t="shared" si="29"/>
        <v>#DIV/0!</v>
      </c>
      <c r="Q178" s="95"/>
      <c r="R178" s="95">
        <f>SUM(D172:O178)/12</f>
        <v>0.22500000000000001</v>
      </c>
      <c r="S178" s="95">
        <f>R178*R172</f>
        <v>11138.121000000001</v>
      </c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  <c r="AL178" s="95"/>
      <c r="AM178" s="95"/>
    </row>
    <row r="179" spans="1:39" ht="12.75" customHeight="1" x14ac:dyDescent="0.2">
      <c r="A179" s="125"/>
      <c r="B179" s="126"/>
      <c r="C179" s="28" t="s">
        <v>17</v>
      </c>
      <c r="D179" s="163"/>
      <c r="E179" s="163"/>
      <c r="F179" s="163"/>
      <c r="G179" s="163"/>
      <c r="H179" s="163"/>
      <c r="I179" s="127">
        <v>1</v>
      </c>
      <c r="J179" s="127">
        <v>1</v>
      </c>
      <c r="K179" s="127">
        <v>1</v>
      </c>
      <c r="L179" s="127">
        <v>1</v>
      </c>
      <c r="M179" s="127">
        <v>0.1</v>
      </c>
      <c r="N179" s="127">
        <v>0.1</v>
      </c>
      <c r="O179" s="128">
        <v>0.1</v>
      </c>
      <c r="P179" s="129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  <c r="AL179" s="95"/>
      <c r="AM179" s="95"/>
    </row>
    <row r="180" spans="1:39" ht="12.75" customHeight="1" x14ac:dyDescent="0.2">
      <c r="A180" s="95"/>
      <c r="B180" s="146" t="str">
        <f>B172</f>
        <v>Anu Kaushal</v>
      </c>
      <c r="C180" s="147" t="s">
        <v>241</v>
      </c>
      <c r="D180" s="148">
        <f t="shared" ref="D180:O180" si="30">SUM(D172:D179)</f>
        <v>0</v>
      </c>
      <c r="E180" s="148">
        <f t="shared" si="30"/>
        <v>0</v>
      </c>
      <c r="F180" s="148">
        <f t="shared" si="30"/>
        <v>0</v>
      </c>
      <c r="G180" s="148">
        <f t="shared" si="30"/>
        <v>0</v>
      </c>
      <c r="H180" s="148">
        <f t="shared" si="30"/>
        <v>0</v>
      </c>
      <c r="I180" s="148">
        <f t="shared" si="30"/>
        <v>1</v>
      </c>
      <c r="J180" s="148">
        <f t="shared" si="30"/>
        <v>1</v>
      </c>
      <c r="K180" s="148">
        <f t="shared" si="30"/>
        <v>1</v>
      </c>
      <c r="L180" s="148">
        <f t="shared" si="30"/>
        <v>1</v>
      </c>
      <c r="M180" s="148">
        <f t="shared" si="30"/>
        <v>1</v>
      </c>
      <c r="N180" s="148">
        <f t="shared" si="30"/>
        <v>1</v>
      </c>
      <c r="O180" s="148">
        <f t="shared" si="30"/>
        <v>1</v>
      </c>
      <c r="P180" s="129">
        <f t="shared" ref="P180:P187" si="31">AVERAGE(D180:O180)</f>
        <v>0.58333333333333337</v>
      </c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  <c r="AL180" s="95"/>
      <c r="AM180" s="95"/>
    </row>
    <row r="181" spans="1:39" ht="12.75" customHeight="1" x14ac:dyDescent="0.2">
      <c r="A181" s="95"/>
      <c r="B181" s="111" t="s">
        <v>274</v>
      </c>
      <c r="C181" s="36" t="s">
        <v>9</v>
      </c>
      <c r="D181" s="149">
        <v>0.05</v>
      </c>
      <c r="E181" s="149">
        <v>0.05</v>
      </c>
      <c r="F181" s="149">
        <v>0.05</v>
      </c>
      <c r="G181" s="149">
        <v>0.05</v>
      </c>
      <c r="H181" s="150">
        <v>0.05</v>
      </c>
      <c r="I181" s="150">
        <v>0.05</v>
      </c>
      <c r="J181" s="150">
        <v>0.05</v>
      </c>
      <c r="K181" s="150">
        <v>0.05</v>
      </c>
      <c r="L181" s="112">
        <v>0.15</v>
      </c>
      <c r="M181" s="112">
        <v>0.15</v>
      </c>
      <c r="N181" s="112">
        <v>0.25</v>
      </c>
      <c r="O181" s="139"/>
      <c r="P181" s="116">
        <f t="shared" si="31"/>
        <v>8.6363636363636365E-2</v>
      </c>
      <c r="Q181" s="95"/>
      <c r="R181" s="95">
        <v>125745</v>
      </c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  <c r="AL181" s="95"/>
      <c r="AM181" s="95"/>
    </row>
    <row r="182" spans="1:39" ht="12.75" customHeight="1" x14ac:dyDescent="0.2">
      <c r="A182" s="95"/>
      <c r="B182" s="19" t="s">
        <v>275</v>
      </c>
      <c r="C182" s="20" t="s">
        <v>11</v>
      </c>
      <c r="D182" s="143">
        <v>0.4</v>
      </c>
      <c r="E182" s="143">
        <v>0.4</v>
      </c>
      <c r="F182" s="143">
        <v>0.4</v>
      </c>
      <c r="G182" s="143">
        <v>0.4</v>
      </c>
      <c r="H182" s="144">
        <v>0.4</v>
      </c>
      <c r="I182" s="144">
        <v>0.4</v>
      </c>
      <c r="J182" s="144">
        <v>0.4</v>
      </c>
      <c r="K182" s="144">
        <v>0.4</v>
      </c>
      <c r="L182" s="123">
        <v>0.3</v>
      </c>
      <c r="M182" s="123">
        <v>0.3</v>
      </c>
      <c r="N182" s="123">
        <v>0.2</v>
      </c>
      <c r="O182" s="140"/>
      <c r="P182" s="121">
        <f t="shared" si="31"/>
        <v>0.36363636363636359</v>
      </c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  <c r="AL182" s="95"/>
      <c r="AM182" s="95"/>
    </row>
    <row r="183" spans="1:39" ht="12.75" customHeight="1" x14ac:dyDescent="0.2">
      <c r="A183" s="95"/>
      <c r="B183" s="122"/>
      <c r="C183" s="20" t="s">
        <v>12</v>
      </c>
      <c r="D183" s="143"/>
      <c r="E183" s="143"/>
      <c r="F183" s="143"/>
      <c r="G183" s="143"/>
      <c r="H183" s="144"/>
      <c r="I183" s="144"/>
      <c r="J183" s="144"/>
      <c r="K183" s="144"/>
      <c r="L183" s="123"/>
      <c r="M183" s="123"/>
      <c r="N183" s="123"/>
      <c r="O183" s="140"/>
      <c r="P183" s="121" t="e">
        <f t="shared" si="31"/>
        <v>#DIV/0!</v>
      </c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  <c r="AL183" s="95"/>
      <c r="AM183" s="95"/>
    </row>
    <row r="184" spans="1:39" ht="12.75" customHeight="1" x14ac:dyDescent="0.2">
      <c r="A184" s="95"/>
      <c r="B184" s="122"/>
      <c r="C184" s="20" t="s">
        <v>13</v>
      </c>
      <c r="D184" s="143"/>
      <c r="E184" s="143"/>
      <c r="F184" s="143"/>
      <c r="G184" s="143"/>
      <c r="H184" s="144"/>
      <c r="I184" s="144"/>
      <c r="J184" s="144"/>
      <c r="K184" s="144"/>
      <c r="L184" s="123"/>
      <c r="M184" s="123"/>
      <c r="N184" s="123"/>
      <c r="O184" s="140"/>
      <c r="P184" s="121" t="e">
        <f t="shared" si="31"/>
        <v>#DIV/0!</v>
      </c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  <c r="AL184" s="95"/>
      <c r="AM184" s="95"/>
    </row>
    <row r="185" spans="1:39" ht="12.75" customHeight="1" x14ac:dyDescent="0.2">
      <c r="A185" s="95"/>
      <c r="B185" s="122"/>
      <c r="C185" s="20" t="s">
        <v>14</v>
      </c>
      <c r="D185" s="143"/>
      <c r="E185" s="143"/>
      <c r="F185" s="143"/>
      <c r="G185" s="143"/>
      <c r="H185" s="144"/>
      <c r="I185" s="144"/>
      <c r="J185" s="144"/>
      <c r="K185" s="144"/>
      <c r="L185" s="123"/>
      <c r="M185" s="123"/>
      <c r="N185" s="123"/>
      <c r="O185" s="140"/>
      <c r="P185" s="121" t="e">
        <f t="shared" si="31"/>
        <v>#DIV/0!</v>
      </c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  <c r="AL185" s="95"/>
      <c r="AM185" s="95"/>
    </row>
    <row r="186" spans="1:39" ht="12.75" customHeight="1" x14ac:dyDescent="0.2">
      <c r="A186" s="95"/>
      <c r="B186" s="122"/>
      <c r="C186" s="20" t="s">
        <v>15</v>
      </c>
      <c r="D186" s="143"/>
      <c r="E186" s="143"/>
      <c r="F186" s="143"/>
      <c r="G186" s="143"/>
      <c r="H186" s="144"/>
      <c r="I186" s="144"/>
      <c r="J186" s="144"/>
      <c r="K186" s="144"/>
      <c r="L186" s="123"/>
      <c r="M186" s="123"/>
      <c r="N186" s="123"/>
      <c r="O186" s="140"/>
      <c r="P186" s="121" t="e">
        <f t="shared" si="31"/>
        <v>#DIV/0!</v>
      </c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95"/>
      <c r="AM186" s="95"/>
    </row>
    <row r="187" spans="1:39" ht="12.75" customHeight="1" x14ac:dyDescent="0.2">
      <c r="A187" s="95"/>
      <c r="B187" s="122"/>
      <c r="C187" s="20" t="s">
        <v>16</v>
      </c>
      <c r="D187" s="143">
        <v>0.45</v>
      </c>
      <c r="E187" s="143">
        <v>0.45</v>
      </c>
      <c r="F187" s="143">
        <v>0.45</v>
      </c>
      <c r="G187" s="143">
        <v>0.45</v>
      </c>
      <c r="H187" s="144">
        <v>0.45</v>
      </c>
      <c r="I187" s="144">
        <v>0.45</v>
      </c>
      <c r="J187" s="144">
        <v>0.45</v>
      </c>
      <c r="K187" s="144">
        <v>0.45</v>
      </c>
      <c r="L187" s="123">
        <v>0.25</v>
      </c>
      <c r="M187" s="123">
        <v>0.25</v>
      </c>
      <c r="N187" s="123">
        <v>0.05</v>
      </c>
      <c r="O187" s="140">
        <v>0.2</v>
      </c>
      <c r="P187" s="121">
        <f t="shared" si="31"/>
        <v>0.36250000000000004</v>
      </c>
      <c r="Q187" s="95"/>
      <c r="R187" s="95">
        <f>SUM(D181:O187)/12</f>
        <v>0.77499999999999991</v>
      </c>
      <c r="S187" s="95">
        <f>R187*R181</f>
        <v>97452.374999999985</v>
      </c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  <c r="AL187" s="95"/>
      <c r="AM187" s="95"/>
    </row>
    <row r="188" spans="1:39" ht="12.75" customHeight="1" x14ac:dyDescent="0.2">
      <c r="A188" s="125"/>
      <c r="B188" s="126"/>
      <c r="C188" s="28" t="s">
        <v>17</v>
      </c>
      <c r="D188" s="127">
        <v>0.1</v>
      </c>
      <c r="E188" s="127">
        <v>0.1</v>
      </c>
      <c r="F188" s="127">
        <v>0.1</v>
      </c>
      <c r="G188" s="127">
        <v>0.1</v>
      </c>
      <c r="H188" s="127">
        <v>0.1</v>
      </c>
      <c r="I188" s="127">
        <v>0.1</v>
      </c>
      <c r="J188" s="127">
        <v>0.1</v>
      </c>
      <c r="K188" s="127">
        <v>0.1</v>
      </c>
      <c r="L188" s="127">
        <v>0.3</v>
      </c>
      <c r="M188" s="127">
        <v>0.3</v>
      </c>
      <c r="N188" s="127">
        <v>0.5</v>
      </c>
      <c r="O188" s="128">
        <v>0.8</v>
      </c>
      <c r="P188" s="129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95"/>
      <c r="AM188" s="95"/>
    </row>
    <row r="189" spans="1:39" ht="12.75" customHeight="1" x14ac:dyDescent="0.2">
      <c r="A189" s="95"/>
      <c r="B189" s="141" t="s">
        <v>276</v>
      </c>
      <c r="C189" s="131" t="s">
        <v>241</v>
      </c>
      <c r="D189" s="132">
        <f t="shared" ref="D189:O189" si="32">SUM(D181:D188)</f>
        <v>1</v>
      </c>
      <c r="E189" s="132">
        <f t="shared" si="32"/>
        <v>1</v>
      </c>
      <c r="F189" s="132">
        <f t="shared" si="32"/>
        <v>1</v>
      </c>
      <c r="G189" s="132">
        <f t="shared" si="32"/>
        <v>1</v>
      </c>
      <c r="H189" s="132">
        <f t="shared" si="32"/>
        <v>1</v>
      </c>
      <c r="I189" s="132">
        <f t="shared" si="32"/>
        <v>1</v>
      </c>
      <c r="J189" s="132">
        <f t="shared" si="32"/>
        <v>1</v>
      </c>
      <c r="K189" s="132">
        <f t="shared" si="32"/>
        <v>1</v>
      </c>
      <c r="L189" s="132">
        <f t="shared" si="32"/>
        <v>1</v>
      </c>
      <c r="M189" s="132">
        <f t="shared" si="32"/>
        <v>1</v>
      </c>
      <c r="N189" s="132">
        <f t="shared" si="32"/>
        <v>1</v>
      </c>
      <c r="O189" s="132">
        <f t="shared" si="32"/>
        <v>1</v>
      </c>
      <c r="P189" s="155">
        <f t="shared" ref="P189:P196" si="33">AVERAGE(D189:O189)</f>
        <v>1</v>
      </c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95"/>
    </row>
    <row r="190" spans="1:39" ht="12.75" customHeight="1" x14ac:dyDescent="0.2">
      <c r="A190" s="95"/>
      <c r="B190" s="142" t="s">
        <v>277</v>
      </c>
      <c r="C190" s="13" t="s">
        <v>9</v>
      </c>
      <c r="D190" s="143"/>
      <c r="E190" s="143"/>
      <c r="F190" s="143"/>
      <c r="G190" s="143"/>
      <c r="H190" s="144"/>
      <c r="I190" s="144"/>
      <c r="J190" s="144"/>
      <c r="K190" s="144"/>
      <c r="L190" s="123"/>
      <c r="M190" s="123"/>
      <c r="N190" s="123"/>
      <c r="O190" s="140"/>
      <c r="P190" s="145" t="e">
        <f t="shared" si="33"/>
        <v>#DIV/0!</v>
      </c>
      <c r="Q190" s="95"/>
      <c r="R190" s="95">
        <v>103876</v>
      </c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  <c r="AL190" s="95"/>
      <c r="AM190" s="95"/>
    </row>
    <row r="191" spans="1:39" ht="12.75" customHeight="1" x14ac:dyDescent="0.2">
      <c r="A191" s="95"/>
      <c r="B191" s="19" t="s">
        <v>278</v>
      </c>
      <c r="C191" s="20" t="s">
        <v>11</v>
      </c>
      <c r="D191" s="143"/>
      <c r="E191" s="143"/>
      <c r="F191" s="143"/>
      <c r="G191" s="143"/>
      <c r="H191" s="144"/>
      <c r="I191" s="144"/>
      <c r="J191" s="144"/>
      <c r="K191" s="144"/>
      <c r="L191" s="123"/>
      <c r="M191" s="123"/>
      <c r="N191" s="123"/>
      <c r="O191" s="140"/>
      <c r="P191" s="121" t="e">
        <f t="shared" si="33"/>
        <v>#DIV/0!</v>
      </c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  <c r="AL191" s="95"/>
      <c r="AM191" s="95"/>
    </row>
    <row r="192" spans="1:39" ht="12.75" customHeight="1" x14ac:dyDescent="0.2">
      <c r="A192" s="95"/>
      <c r="B192" s="122"/>
      <c r="C192" s="20" t="s">
        <v>12</v>
      </c>
      <c r="D192" s="143"/>
      <c r="E192" s="143"/>
      <c r="F192" s="143"/>
      <c r="G192" s="143"/>
      <c r="H192" s="144"/>
      <c r="I192" s="144"/>
      <c r="J192" s="144"/>
      <c r="K192" s="144"/>
      <c r="L192" s="123"/>
      <c r="M192" s="123"/>
      <c r="N192" s="123"/>
      <c r="O192" s="140"/>
      <c r="P192" s="121" t="e">
        <f t="shared" si="33"/>
        <v>#DIV/0!</v>
      </c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  <c r="AL192" s="95"/>
      <c r="AM192" s="95"/>
    </row>
    <row r="193" spans="1:39" ht="12.75" customHeight="1" x14ac:dyDescent="0.2">
      <c r="A193" s="95"/>
      <c r="B193" s="122"/>
      <c r="C193" s="20" t="s">
        <v>13</v>
      </c>
      <c r="D193" s="143"/>
      <c r="E193" s="143"/>
      <c r="F193" s="143"/>
      <c r="G193" s="143"/>
      <c r="H193" s="144"/>
      <c r="I193" s="144"/>
      <c r="J193" s="144"/>
      <c r="K193" s="144"/>
      <c r="L193" s="123"/>
      <c r="M193" s="123"/>
      <c r="N193" s="123"/>
      <c r="O193" s="140"/>
      <c r="P193" s="121" t="e">
        <f t="shared" si="33"/>
        <v>#DIV/0!</v>
      </c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  <c r="AL193" s="95"/>
      <c r="AM193" s="95"/>
    </row>
    <row r="194" spans="1:39" ht="12.75" customHeight="1" x14ac:dyDescent="0.2">
      <c r="A194" s="95"/>
      <c r="B194" s="122"/>
      <c r="C194" s="20" t="s">
        <v>14</v>
      </c>
      <c r="D194" s="143"/>
      <c r="E194" s="143"/>
      <c r="F194" s="143"/>
      <c r="G194" s="143"/>
      <c r="H194" s="144"/>
      <c r="I194" s="144"/>
      <c r="J194" s="144"/>
      <c r="K194" s="144"/>
      <c r="L194" s="123"/>
      <c r="M194" s="123"/>
      <c r="N194" s="123"/>
      <c r="O194" s="140"/>
      <c r="P194" s="121" t="e">
        <f t="shared" si="33"/>
        <v>#DIV/0!</v>
      </c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  <c r="AL194" s="95"/>
      <c r="AM194" s="95"/>
    </row>
    <row r="195" spans="1:39" ht="12.75" customHeight="1" x14ac:dyDescent="0.2">
      <c r="A195" s="95"/>
      <c r="B195" s="122"/>
      <c r="C195" s="20" t="s">
        <v>15</v>
      </c>
      <c r="D195" s="143"/>
      <c r="E195" s="143"/>
      <c r="F195" s="143"/>
      <c r="G195" s="143"/>
      <c r="H195" s="144"/>
      <c r="I195" s="144"/>
      <c r="J195" s="144"/>
      <c r="K195" s="144"/>
      <c r="L195" s="123"/>
      <c r="M195" s="123"/>
      <c r="N195" s="123"/>
      <c r="O195" s="140"/>
      <c r="P195" s="121" t="e">
        <f t="shared" si="33"/>
        <v>#DIV/0!</v>
      </c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95"/>
      <c r="AM195" s="95"/>
    </row>
    <row r="196" spans="1:39" ht="12.75" customHeight="1" x14ac:dyDescent="0.2">
      <c r="A196" s="95"/>
      <c r="B196" s="122"/>
      <c r="C196" s="20" t="s">
        <v>16</v>
      </c>
      <c r="D196" s="143">
        <v>0.6</v>
      </c>
      <c r="E196" s="143">
        <v>0.5</v>
      </c>
      <c r="F196" s="143">
        <v>0.5</v>
      </c>
      <c r="G196" s="143">
        <v>0.5</v>
      </c>
      <c r="H196" s="144">
        <v>0.5</v>
      </c>
      <c r="I196" s="144">
        <v>0.5</v>
      </c>
      <c r="J196" s="144">
        <v>0.5</v>
      </c>
      <c r="K196" s="144">
        <v>0.6</v>
      </c>
      <c r="L196" s="123">
        <v>0.5</v>
      </c>
      <c r="M196" s="123">
        <v>0.5</v>
      </c>
      <c r="N196" s="123">
        <v>0.5</v>
      </c>
      <c r="O196" s="140">
        <v>0.5</v>
      </c>
      <c r="P196" s="121">
        <f t="shared" si="33"/>
        <v>0.51666666666666672</v>
      </c>
      <c r="Q196" s="95"/>
      <c r="R196" s="95">
        <f>SUM(D190:O196)/12</f>
        <v>0.51666666666666672</v>
      </c>
      <c r="S196" s="95">
        <f>R196*R190</f>
        <v>53669.26666666667</v>
      </c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  <c r="AL196" s="95"/>
      <c r="AM196" s="95"/>
    </row>
    <row r="197" spans="1:39" ht="12.75" customHeight="1" x14ac:dyDescent="0.2">
      <c r="A197" s="125"/>
      <c r="B197" s="126"/>
      <c r="C197" s="28" t="s">
        <v>17</v>
      </c>
      <c r="D197" s="127">
        <v>0.4</v>
      </c>
      <c r="E197" s="127">
        <v>0.5</v>
      </c>
      <c r="F197" s="127">
        <v>0.5</v>
      </c>
      <c r="G197" s="127">
        <v>0.5</v>
      </c>
      <c r="H197" s="127">
        <v>0.5</v>
      </c>
      <c r="I197" s="127">
        <v>0.5</v>
      </c>
      <c r="J197" s="127">
        <v>0.5</v>
      </c>
      <c r="K197" s="127">
        <v>0.4</v>
      </c>
      <c r="L197" s="127">
        <v>0.5</v>
      </c>
      <c r="M197" s="127">
        <v>0.5</v>
      </c>
      <c r="N197" s="127">
        <v>0.5</v>
      </c>
      <c r="O197" s="128">
        <v>0.5</v>
      </c>
      <c r="P197" s="129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  <c r="AL197" s="95"/>
      <c r="AM197" s="95"/>
    </row>
    <row r="198" spans="1:39" ht="12.75" customHeight="1" x14ac:dyDescent="0.2">
      <c r="A198" s="95"/>
      <c r="B198" s="146" t="str">
        <f>B190</f>
        <v>Hayley Bolding</v>
      </c>
      <c r="C198" s="147" t="s">
        <v>241</v>
      </c>
      <c r="D198" s="148">
        <f t="shared" ref="D198:O198" si="34">SUM(D190:D197)</f>
        <v>1</v>
      </c>
      <c r="E198" s="148">
        <f t="shared" si="34"/>
        <v>1</v>
      </c>
      <c r="F198" s="148">
        <f t="shared" si="34"/>
        <v>1</v>
      </c>
      <c r="G198" s="148">
        <f t="shared" si="34"/>
        <v>1</v>
      </c>
      <c r="H198" s="148">
        <f t="shared" si="34"/>
        <v>1</v>
      </c>
      <c r="I198" s="148">
        <f t="shared" si="34"/>
        <v>1</v>
      </c>
      <c r="J198" s="148">
        <f t="shared" si="34"/>
        <v>1</v>
      </c>
      <c r="K198" s="148">
        <f t="shared" si="34"/>
        <v>1</v>
      </c>
      <c r="L198" s="148">
        <f t="shared" si="34"/>
        <v>1</v>
      </c>
      <c r="M198" s="148">
        <f t="shared" si="34"/>
        <v>1</v>
      </c>
      <c r="N198" s="148">
        <f t="shared" si="34"/>
        <v>1</v>
      </c>
      <c r="O198" s="148">
        <f t="shared" si="34"/>
        <v>1</v>
      </c>
      <c r="P198" s="129">
        <f t="shared" ref="P198:P205" si="35">AVERAGE(D198:O198)</f>
        <v>1</v>
      </c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  <c r="AL198" s="95"/>
      <c r="AM198" s="95"/>
    </row>
    <row r="199" spans="1:39" ht="12.75" customHeight="1" x14ac:dyDescent="0.2">
      <c r="A199" s="95"/>
      <c r="B199" s="111" t="s">
        <v>279</v>
      </c>
      <c r="C199" s="36" t="s">
        <v>9</v>
      </c>
      <c r="D199" s="149"/>
      <c r="E199" s="149"/>
      <c r="F199" s="149"/>
      <c r="G199" s="149"/>
      <c r="H199" s="150"/>
      <c r="I199" s="150"/>
      <c r="J199" s="150"/>
      <c r="K199" s="150"/>
      <c r="L199" s="112"/>
      <c r="M199" s="112"/>
      <c r="N199" s="112"/>
      <c r="O199" s="139"/>
      <c r="P199" s="116" t="e">
        <f t="shared" si="35"/>
        <v>#DIV/0!</v>
      </c>
      <c r="Q199" s="95"/>
      <c r="R199" s="95">
        <v>77462</v>
      </c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  <c r="AL199" s="95"/>
      <c r="AM199" s="95"/>
    </row>
    <row r="200" spans="1:39" ht="12.75" customHeight="1" x14ac:dyDescent="0.2">
      <c r="A200" s="95"/>
      <c r="B200" s="19" t="s">
        <v>280</v>
      </c>
      <c r="C200" s="20" t="s">
        <v>11</v>
      </c>
      <c r="D200" s="143"/>
      <c r="E200" s="143"/>
      <c r="F200" s="143"/>
      <c r="G200" s="143"/>
      <c r="H200" s="144"/>
      <c r="I200" s="144"/>
      <c r="J200" s="144"/>
      <c r="K200" s="144"/>
      <c r="L200" s="123"/>
      <c r="M200" s="123"/>
      <c r="N200" s="123"/>
      <c r="O200" s="140"/>
      <c r="P200" s="121" t="e">
        <f t="shared" si="35"/>
        <v>#DIV/0!</v>
      </c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  <c r="AL200" s="95"/>
      <c r="AM200" s="95"/>
    </row>
    <row r="201" spans="1:39" ht="12.75" customHeight="1" x14ac:dyDescent="0.2">
      <c r="A201" s="95"/>
      <c r="B201" s="122"/>
      <c r="C201" s="20" t="s">
        <v>12</v>
      </c>
      <c r="D201" s="143"/>
      <c r="E201" s="143"/>
      <c r="F201" s="143"/>
      <c r="G201" s="143"/>
      <c r="H201" s="144"/>
      <c r="I201" s="144"/>
      <c r="J201" s="144"/>
      <c r="K201" s="144"/>
      <c r="L201" s="123"/>
      <c r="M201" s="123"/>
      <c r="N201" s="123"/>
      <c r="O201" s="140"/>
      <c r="P201" s="121" t="e">
        <f t="shared" si="35"/>
        <v>#DIV/0!</v>
      </c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  <c r="AL201" s="95"/>
      <c r="AM201" s="95"/>
    </row>
    <row r="202" spans="1:39" ht="12.75" customHeight="1" x14ac:dyDescent="0.2">
      <c r="A202" s="95"/>
      <c r="B202" s="122"/>
      <c r="C202" s="20" t="s">
        <v>13</v>
      </c>
      <c r="D202" s="143"/>
      <c r="E202" s="143"/>
      <c r="F202" s="143"/>
      <c r="G202" s="143"/>
      <c r="H202" s="144"/>
      <c r="I202" s="144"/>
      <c r="J202" s="144"/>
      <c r="K202" s="144"/>
      <c r="L202" s="123"/>
      <c r="M202" s="123"/>
      <c r="N202" s="123"/>
      <c r="O202" s="140"/>
      <c r="P202" s="121" t="e">
        <f t="shared" si="35"/>
        <v>#DIV/0!</v>
      </c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  <c r="AL202" s="95"/>
      <c r="AM202" s="95"/>
    </row>
    <row r="203" spans="1:39" ht="12.75" customHeight="1" x14ac:dyDescent="0.2">
      <c r="A203" s="95"/>
      <c r="B203" s="122"/>
      <c r="C203" s="20" t="s">
        <v>14</v>
      </c>
      <c r="D203" s="143"/>
      <c r="E203" s="143"/>
      <c r="F203" s="143"/>
      <c r="G203" s="143"/>
      <c r="H203" s="144"/>
      <c r="I203" s="144"/>
      <c r="J203" s="144"/>
      <c r="K203" s="144"/>
      <c r="L203" s="123"/>
      <c r="M203" s="123"/>
      <c r="N203" s="123"/>
      <c r="O203" s="140"/>
      <c r="P203" s="121" t="e">
        <f t="shared" si="35"/>
        <v>#DIV/0!</v>
      </c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  <c r="AL203" s="95"/>
      <c r="AM203" s="95"/>
    </row>
    <row r="204" spans="1:39" ht="12.75" customHeight="1" x14ac:dyDescent="0.2">
      <c r="A204" s="95"/>
      <c r="B204" s="122"/>
      <c r="C204" s="20" t="s">
        <v>15</v>
      </c>
      <c r="D204" s="143"/>
      <c r="E204" s="143"/>
      <c r="F204" s="143"/>
      <c r="G204" s="143"/>
      <c r="H204" s="144"/>
      <c r="I204" s="144"/>
      <c r="J204" s="144"/>
      <c r="K204" s="144"/>
      <c r="L204" s="123"/>
      <c r="M204" s="123"/>
      <c r="N204" s="123"/>
      <c r="O204" s="140"/>
      <c r="P204" s="121" t="e">
        <f t="shared" si="35"/>
        <v>#DIV/0!</v>
      </c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</row>
    <row r="205" spans="1:39" ht="12.75" customHeight="1" x14ac:dyDescent="0.2">
      <c r="A205" s="95"/>
      <c r="B205" s="122"/>
      <c r="C205" s="20" t="s">
        <v>16</v>
      </c>
      <c r="D205" s="143">
        <v>0.9</v>
      </c>
      <c r="E205" s="143">
        <v>0.8</v>
      </c>
      <c r="F205" s="143">
        <v>0.8</v>
      </c>
      <c r="G205" s="143">
        <v>0.8</v>
      </c>
      <c r="H205" s="144">
        <v>0.9</v>
      </c>
      <c r="I205" s="144">
        <v>0.9</v>
      </c>
      <c r="J205" s="144">
        <v>0.8</v>
      </c>
      <c r="K205" s="144">
        <v>0.9</v>
      </c>
      <c r="L205" s="123">
        <v>0.8</v>
      </c>
      <c r="M205" s="123">
        <v>0.8</v>
      </c>
      <c r="N205" s="123">
        <v>0.8</v>
      </c>
      <c r="O205" s="140">
        <v>0.9</v>
      </c>
      <c r="P205" s="121">
        <f t="shared" si="35"/>
        <v>0.84166666666666679</v>
      </c>
      <c r="Q205" s="95"/>
      <c r="R205" s="95">
        <f>SUM(D199:O205)/12</f>
        <v>0.84166666666666679</v>
      </c>
      <c r="S205" s="95">
        <f>R205*R199</f>
        <v>65197.183333333342</v>
      </c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95"/>
    </row>
    <row r="206" spans="1:39" ht="12.75" customHeight="1" x14ac:dyDescent="0.2">
      <c r="A206" s="125"/>
      <c r="B206" s="126"/>
      <c r="C206" s="28" t="s">
        <v>17</v>
      </c>
      <c r="D206" s="127">
        <v>0.1</v>
      </c>
      <c r="E206" s="127">
        <v>0.2</v>
      </c>
      <c r="F206" s="127">
        <v>0.2</v>
      </c>
      <c r="G206" s="127">
        <v>0.2</v>
      </c>
      <c r="H206" s="127">
        <v>0.1</v>
      </c>
      <c r="I206" s="127">
        <v>0.1</v>
      </c>
      <c r="J206" s="127">
        <v>0.2</v>
      </c>
      <c r="K206" s="127">
        <v>0.1</v>
      </c>
      <c r="L206" s="127">
        <v>0.2</v>
      </c>
      <c r="M206" s="127">
        <v>0.2</v>
      </c>
      <c r="N206" s="127">
        <v>0.2</v>
      </c>
      <c r="O206" s="128">
        <v>0.1</v>
      </c>
      <c r="P206" s="129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95"/>
    </row>
    <row r="207" spans="1:39" ht="12.75" customHeight="1" x14ac:dyDescent="0.2">
      <c r="A207" s="95"/>
      <c r="B207" s="141" t="s">
        <v>25</v>
      </c>
      <c r="C207" s="131" t="s">
        <v>241</v>
      </c>
      <c r="D207" s="132">
        <f t="shared" ref="D207:O207" si="36">SUM(D199:D206)</f>
        <v>1</v>
      </c>
      <c r="E207" s="132">
        <f t="shared" si="36"/>
        <v>1</v>
      </c>
      <c r="F207" s="132">
        <f t="shared" si="36"/>
        <v>1</v>
      </c>
      <c r="G207" s="132">
        <f t="shared" si="36"/>
        <v>1</v>
      </c>
      <c r="H207" s="132">
        <f t="shared" si="36"/>
        <v>1</v>
      </c>
      <c r="I207" s="132">
        <f t="shared" si="36"/>
        <v>1</v>
      </c>
      <c r="J207" s="132">
        <f t="shared" si="36"/>
        <v>1</v>
      </c>
      <c r="K207" s="132">
        <f t="shared" si="36"/>
        <v>1</v>
      </c>
      <c r="L207" s="132">
        <f t="shared" si="36"/>
        <v>1</v>
      </c>
      <c r="M207" s="132">
        <f t="shared" si="36"/>
        <v>1</v>
      </c>
      <c r="N207" s="132">
        <f t="shared" si="36"/>
        <v>1</v>
      </c>
      <c r="O207" s="132">
        <f t="shared" si="36"/>
        <v>1</v>
      </c>
      <c r="P207" s="155">
        <f t="shared" ref="P207:P214" si="37">AVERAGE(D207:O207)</f>
        <v>1</v>
      </c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95"/>
    </row>
    <row r="208" spans="1:39" ht="12.75" customHeight="1" x14ac:dyDescent="0.2">
      <c r="A208" s="95"/>
      <c r="B208" s="142" t="s">
        <v>56</v>
      </c>
      <c r="C208" s="13" t="s">
        <v>9</v>
      </c>
      <c r="D208" s="143"/>
      <c r="E208" s="143"/>
      <c r="F208" s="143"/>
      <c r="G208" s="143"/>
      <c r="H208" s="144"/>
      <c r="I208" s="144"/>
      <c r="J208" s="144"/>
      <c r="K208" s="144"/>
      <c r="L208" s="123"/>
      <c r="M208" s="123"/>
      <c r="N208" s="123"/>
      <c r="O208" s="140"/>
      <c r="P208" s="145" t="e">
        <f t="shared" si="37"/>
        <v>#DIV/0!</v>
      </c>
      <c r="Q208" s="95"/>
      <c r="R208" s="95">
        <v>58208</v>
      </c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95"/>
    </row>
    <row r="209" spans="1:39" ht="12.75" customHeight="1" x14ac:dyDescent="0.2">
      <c r="A209" s="95"/>
      <c r="B209" s="19" t="s">
        <v>281</v>
      </c>
      <c r="C209" s="20" t="s">
        <v>11</v>
      </c>
      <c r="D209" s="143"/>
      <c r="E209" s="143"/>
      <c r="F209" s="143"/>
      <c r="G209" s="143"/>
      <c r="H209" s="144"/>
      <c r="I209" s="144"/>
      <c r="J209" s="144"/>
      <c r="K209" s="144"/>
      <c r="L209" s="123"/>
      <c r="M209" s="123"/>
      <c r="N209" s="123"/>
      <c r="O209" s="140"/>
      <c r="P209" s="121" t="e">
        <f t="shared" si="37"/>
        <v>#DIV/0!</v>
      </c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95"/>
    </row>
    <row r="210" spans="1:39" ht="12.75" customHeight="1" x14ac:dyDescent="0.2">
      <c r="A210" s="95"/>
      <c r="B210" s="122"/>
      <c r="C210" s="20" t="s">
        <v>12</v>
      </c>
      <c r="D210" s="143"/>
      <c r="E210" s="143"/>
      <c r="F210" s="143"/>
      <c r="G210" s="143"/>
      <c r="H210" s="144"/>
      <c r="I210" s="144"/>
      <c r="J210" s="144"/>
      <c r="K210" s="144"/>
      <c r="L210" s="123"/>
      <c r="M210" s="123"/>
      <c r="N210" s="123"/>
      <c r="O210" s="140"/>
      <c r="P210" s="121" t="e">
        <f t="shared" si="37"/>
        <v>#DIV/0!</v>
      </c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95"/>
    </row>
    <row r="211" spans="1:39" ht="12.75" customHeight="1" x14ac:dyDescent="0.2">
      <c r="A211" s="95"/>
      <c r="B211" s="122"/>
      <c r="C211" s="20" t="s">
        <v>13</v>
      </c>
      <c r="D211" s="143"/>
      <c r="E211" s="143"/>
      <c r="F211" s="143"/>
      <c r="G211" s="143"/>
      <c r="H211" s="144"/>
      <c r="I211" s="144"/>
      <c r="J211" s="144"/>
      <c r="K211" s="144"/>
      <c r="L211" s="123"/>
      <c r="M211" s="123"/>
      <c r="N211" s="123"/>
      <c r="O211" s="140"/>
      <c r="P211" s="121" t="e">
        <f t="shared" si="37"/>
        <v>#DIV/0!</v>
      </c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95"/>
    </row>
    <row r="212" spans="1:39" ht="12.75" customHeight="1" x14ac:dyDescent="0.2">
      <c r="A212" s="95"/>
      <c r="B212" s="122"/>
      <c r="C212" s="20" t="s">
        <v>14</v>
      </c>
      <c r="D212" s="143">
        <v>0.2</v>
      </c>
      <c r="E212" s="143"/>
      <c r="F212" s="143"/>
      <c r="G212" s="143">
        <v>0.2</v>
      </c>
      <c r="H212" s="144"/>
      <c r="I212" s="144"/>
      <c r="J212" s="144">
        <v>0.2</v>
      </c>
      <c r="K212" s="144"/>
      <c r="L212" s="123"/>
      <c r="M212" s="123"/>
      <c r="N212" s="123">
        <v>0.2</v>
      </c>
      <c r="O212" s="140"/>
      <c r="P212" s="121">
        <f t="shared" si="37"/>
        <v>0.2</v>
      </c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95"/>
    </row>
    <row r="213" spans="1:39" ht="12.75" customHeight="1" x14ac:dyDescent="0.2">
      <c r="A213" s="95"/>
      <c r="B213" s="122"/>
      <c r="C213" s="20" t="s">
        <v>15</v>
      </c>
      <c r="D213" s="143"/>
      <c r="E213" s="143"/>
      <c r="F213" s="143"/>
      <c r="G213" s="143"/>
      <c r="H213" s="144"/>
      <c r="I213" s="144"/>
      <c r="J213" s="144"/>
      <c r="K213" s="144"/>
      <c r="L213" s="123"/>
      <c r="M213" s="123"/>
      <c r="N213" s="123"/>
      <c r="O213" s="140"/>
      <c r="P213" s="121" t="e">
        <f t="shared" si="37"/>
        <v>#DIV/0!</v>
      </c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95"/>
    </row>
    <row r="214" spans="1:39" ht="12.75" customHeight="1" x14ac:dyDescent="0.2">
      <c r="A214" s="95"/>
      <c r="B214" s="122"/>
      <c r="C214" s="20" t="s">
        <v>16</v>
      </c>
      <c r="D214" s="143">
        <v>0.4</v>
      </c>
      <c r="E214" s="143">
        <v>0.5</v>
      </c>
      <c r="F214" s="143">
        <v>0.6</v>
      </c>
      <c r="G214" s="143">
        <v>0.7</v>
      </c>
      <c r="H214" s="144">
        <v>0.8</v>
      </c>
      <c r="I214" s="144">
        <v>0.7</v>
      </c>
      <c r="J214" s="144">
        <v>0.7</v>
      </c>
      <c r="K214" s="144">
        <v>0.8</v>
      </c>
      <c r="L214" s="123">
        <v>0.7</v>
      </c>
      <c r="M214" s="123">
        <v>0.7</v>
      </c>
      <c r="N214" s="123">
        <v>0.7</v>
      </c>
      <c r="O214" s="140">
        <v>0.8</v>
      </c>
      <c r="P214" s="121">
        <f t="shared" si="37"/>
        <v>0.67500000000000016</v>
      </c>
      <c r="Q214" s="95"/>
      <c r="R214" s="95">
        <f>SUM(D208:O214)/12</f>
        <v>0.7416666666666667</v>
      </c>
      <c r="S214" s="95">
        <f>R214*R208</f>
        <v>43170.933333333334</v>
      </c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95"/>
    </row>
    <row r="215" spans="1:39" ht="12.75" customHeight="1" x14ac:dyDescent="0.2">
      <c r="A215" s="125"/>
      <c r="B215" s="126"/>
      <c r="C215" s="28" t="s">
        <v>17</v>
      </c>
      <c r="D215" s="127">
        <v>0.4</v>
      </c>
      <c r="E215" s="127">
        <v>0.5</v>
      </c>
      <c r="F215" s="127">
        <v>0.4</v>
      </c>
      <c r="G215" s="127">
        <v>0.1</v>
      </c>
      <c r="H215" s="127">
        <v>0.2</v>
      </c>
      <c r="I215" s="127">
        <v>0.3</v>
      </c>
      <c r="J215" s="127">
        <v>0.1</v>
      </c>
      <c r="K215" s="127">
        <v>0.2</v>
      </c>
      <c r="L215" s="127">
        <v>0.3</v>
      </c>
      <c r="M215" s="127">
        <v>0.3</v>
      </c>
      <c r="N215" s="127">
        <v>0.1</v>
      </c>
      <c r="O215" s="128">
        <v>0.2</v>
      </c>
      <c r="P215" s="129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95"/>
    </row>
    <row r="216" spans="1:39" ht="12.75" customHeight="1" x14ac:dyDescent="0.2">
      <c r="A216" s="95"/>
      <c r="B216" s="146" t="str">
        <f>B208</f>
        <v>Hope Dolino</v>
      </c>
      <c r="C216" s="147" t="s">
        <v>241</v>
      </c>
      <c r="D216" s="148">
        <f t="shared" ref="D216:O216" si="38">SUM(D208:D215)</f>
        <v>1</v>
      </c>
      <c r="E216" s="148">
        <f t="shared" si="38"/>
        <v>1</v>
      </c>
      <c r="F216" s="148">
        <f t="shared" si="38"/>
        <v>1</v>
      </c>
      <c r="G216" s="148">
        <f t="shared" si="38"/>
        <v>0.99999999999999989</v>
      </c>
      <c r="H216" s="148">
        <f t="shared" si="38"/>
        <v>1</v>
      </c>
      <c r="I216" s="148">
        <f t="shared" si="38"/>
        <v>1</v>
      </c>
      <c r="J216" s="148">
        <f t="shared" si="38"/>
        <v>0.99999999999999989</v>
      </c>
      <c r="K216" s="148">
        <f t="shared" si="38"/>
        <v>1</v>
      </c>
      <c r="L216" s="148">
        <f t="shared" si="38"/>
        <v>1</v>
      </c>
      <c r="M216" s="148">
        <f t="shared" si="38"/>
        <v>1</v>
      </c>
      <c r="N216" s="148">
        <f t="shared" si="38"/>
        <v>0.99999999999999989</v>
      </c>
      <c r="O216" s="148">
        <f t="shared" si="38"/>
        <v>1</v>
      </c>
      <c r="P216" s="129">
        <f t="shared" ref="P216:P223" si="39">AVERAGE(D216:O216)</f>
        <v>1</v>
      </c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95"/>
    </row>
    <row r="217" spans="1:39" ht="12.75" customHeight="1" x14ac:dyDescent="0.2">
      <c r="A217" s="95"/>
      <c r="B217" s="111" t="s">
        <v>282</v>
      </c>
      <c r="C217" s="36" t="s">
        <v>9</v>
      </c>
      <c r="D217" s="149"/>
      <c r="E217" s="149"/>
      <c r="F217" s="149"/>
      <c r="G217" s="149"/>
      <c r="H217" s="150"/>
      <c r="I217" s="150"/>
      <c r="J217" s="150"/>
      <c r="K217" s="150"/>
      <c r="L217" s="112"/>
      <c r="M217" s="112"/>
      <c r="N217" s="112"/>
      <c r="O217" s="139"/>
      <c r="P217" s="116" t="e">
        <f t="shared" si="39"/>
        <v>#DIV/0!</v>
      </c>
      <c r="Q217" s="95"/>
      <c r="R217" s="95">
        <v>69349</v>
      </c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95"/>
    </row>
    <row r="218" spans="1:39" ht="12.75" customHeight="1" x14ac:dyDescent="0.2">
      <c r="A218" s="95"/>
      <c r="B218" s="19" t="s">
        <v>281</v>
      </c>
      <c r="C218" s="20" t="s">
        <v>11</v>
      </c>
      <c r="D218" s="143"/>
      <c r="E218" s="143"/>
      <c r="F218" s="143"/>
      <c r="G218" s="143">
        <v>0.2</v>
      </c>
      <c r="H218" s="144"/>
      <c r="I218" s="144"/>
      <c r="J218" s="144">
        <v>0.2</v>
      </c>
      <c r="K218" s="144"/>
      <c r="L218" s="123"/>
      <c r="M218" s="123"/>
      <c r="N218" s="123">
        <v>0.2</v>
      </c>
      <c r="O218" s="140"/>
      <c r="P218" s="121">
        <f t="shared" si="39"/>
        <v>0.20000000000000004</v>
      </c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  <c r="AL218" s="95"/>
      <c r="AM218" s="95"/>
    </row>
    <row r="219" spans="1:39" ht="12.75" customHeight="1" x14ac:dyDescent="0.2">
      <c r="A219" s="95"/>
      <c r="B219" s="122"/>
      <c r="C219" s="20" t="s">
        <v>12</v>
      </c>
      <c r="D219" s="143"/>
      <c r="E219" s="143"/>
      <c r="F219" s="143"/>
      <c r="G219" s="143"/>
      <c r="H219" s="144"/>
      <c r="I219" s="144"/>
      <c r="J219" s="144"/>
      <c r="K219" s="144"/>
      <c r="L219" s="123"/>
      <c r="M219" s="123"/>
      <c r="N219" s="123"/>
      <c r="O219" s="140"/>
      <c r="P219" s="121" t="e">
        <f t="shared" si="39"/>
        <v>#DIV/0!</v>
      </c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  <c r="AL219" s="95"/>
      <c r="AM219" s="95"/>
    </row>
    <row r="220" spans="1:39" ht="12.75" customHeight="1" x14ac:dyDescent="0.2">
      <c r="A220" s="95"/>
      <c r="B220" s="122"/>
      <c r="C220" s="20" t="s">
        <v>13</v>
      </c>
      <c r="D220" s="143"/>
      <c r="E220" s="143"/>
      <c r="F220" s="143"/>
      <c r="G220" s="143"/>
      <c r="H220" s="144"/>
      <c r="I220" s="144"/>
      <c r="J220" s="144"/>
      <c r="K220" s="144"/>
      <c r="L220" s="123"/>
      <c r="M220" s="123"/>
      <c r="N220" s="123"/>
      <c r="O220" s="140"/>
      <c r="P220" s="121" t="e">
        <f t="shared" si="39"/>
        <v>#DIV/0!</v>
      </c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  <c r="AL220" s="95"/>
      <c r="AM220" s="95"/>
    </row>
    <row r="221" spans="1:39" ht="12.75" customHeight="1" x14ac:dyDescent="0.2">
      <c r="A221" s="95"/>
      <c r="B221" s="122"/>
      <c r="C221" s="20" t="s">
        <v>14</v>
      </c>
      <c r="D221" s="143">
        <v>0.2</v>
      </c>
      <c r="E221" s="143"/>
      <c r="F221" s="143"/>
      <c r="G221" s="143">
        <v>0.05</v>
      </c>
      <c r="H221" s="144">
        <v>0.05</v>
      </c>
      <c r="I221" s="144"/>
      <c r="J221" s="144">
        <v>0.05</v>
      </c>
      <c r="K221" s="144"/>
      <c r="L221" s="123"/>
      <c r="M221" s="123"/>
      <c r="N221" s="123">
        <v>0.05</v>
      </c>
      <c r="O221" s="140"/>
      <c r="P221" s="121">
        <f t="shared" si="39"/>
        <v>7.9999999999999988E-2</v>
      </c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  <c r="AL221" s="95"/>
      <c r="AM221" s="95"/>
    </row>
    <row r="222" spans="1:39" ht="12.75" customHeight="1" x14ac:dyDescent="0.2">
      <c r="A222" s="95"/>
      <c r="B222" s="122"/>
      <c r="C222" s="20" t="s">
        <v>15</v>
      </c>
      <c r="D222" s="143"/>
      <c r="E222" s="143"/>
      <c r="F222" s="143"/>
      <c r="G222" s="143"/>
      <c r="H222" s="144"/>
      <c r="I222" s="144"/>
      <c r="J222" s="144"/>
      <c r="K222" s="144"/>
      <c r="L222" s="123"/>
      <c r="M222" s="123"/>
      <c r="N222" s="123"/>
      <c r="O222" s="140"/>
      <c r="P222" s="121" t="e">
        <f t="shared" si="39"/>
        <v>#DIV/0!</v>
      </c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  <c r="AL222" s="95"/>
      <c r="AM222" s="95"/>
    </row>
    <row r="223" spans="1:39" ht="12.75" customHeight="1" x14ac:dyDescent="0.2">
      <c r="A223" s="170"/>
      <c r="B223" s="122"/>
      <c r="C223" s="20" t="s">
        <v>16</v>
      </c>
      <c r="D223" s="143">
        <v>0.6</v>
      </c>
      <c r="E223" s="143">
        <v>0.7</v>
      </c>
      <c r="F223" s="143">
        <v>0.7</v>
      </c>
      <c r="G223" s="143">
        <v>0.7</v>
      </c>
      <c r="H223" s="144">
        <v>0.8</v>
      </c>
      <c r="I223" s="144">
        <v>0.7</v>
      </c>
      <c r="J223" s="144">
        <v>0.7</v>
      </c>
      <c r="K223" s="144">
        <v>0.8</v>
      </c>
      <c r="L223" s="123">
        <v>0.7</v>
      </c>
      <c r="M223" s="123">
        <v>0.7</v>
      </c>
      <c r="N223" s="123">
        <v>0.7</v>
      </c>
      <c r="O223" s="140">
        <v>0.8</v>
      </c>
      <c r="P223" s="121">
        <f t="shared" si="39"/>
        <v>0.71666666666666679</v>
      </c>
      <c r="Q223" s="95"/>
      <c r="R223" s="95">
        <f>SUM(D217:O223)/12</f>
        <v>0.79999999999999993</v>
      </c>
      <c r="S223" s="95">
        <f>R223*R217</f>
        <v>55479.199999999997</v>
      </c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  <c r="AL223" s="95"/>
      <c r="AM223" s="95"/>
    </row>
    <row r="224" spans="1:39" ht="12.75" customHeight="1" x14ac:dyDescent="0.2">
      <c r="A224" s="125"/>
      <c r="B224" s="171"/>
      <c r="C224" s="172" t="s">
        <v>17</v>
      </c>
      <c r="D224" s="127">
        <v>0.2</v>
      </c>
      <c r="E224" s="127">
        <v>0.3</v>
      </c>
      <c r="F224" s="127">
        <v>0.3</v>
      </c>
      <c r="G224" s="127">
        <v>0.05</v>
      </c>
      <c r="H224" s="127">
        <v>0.15</v>
      </c>
      <c r="I224" s="127">
        <v>0.3</v>
      </c>
      <c r="J224" s="127">
        <v>0.05</v>
      </c>
      <c r="K224" s="127">
        <v>0.2</v>
      </c>
      <c r="L224" s="127">
        <v>0.3</v>
      </c>
      <c r="M224" s="127">
        <v>0.3</v>
      </c>
      <c r="N224" s="127">
        <v>0.05</v>
      </c>
      <c r="O224" s="128">
        <v>0.2</v>
      </c>
      <c r="P224" s="129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  <c r="AL224" s="95"/>
      <c r="AM224" s="95"/>
    </row>
    <row r="225" spans="1:39" ht="12.75" customHeight="1" x14ac:dyDescent="0.2">
      <c r="A225" s="95"/>
      <c r="B225" s="173" t="str">
        <f>B217</f>
        <v>Kristin Tan</v>
      </c>
      <c r="C225" s="174" t="s">
        <v>241</v>
      </c>
      <c r="D225" s="175">
        <f t="shared" ref="D225:P225" si="40">SUM(D217:D224)</f>
        <v>1</v>
      </c>
      <c r="E225" s="175">
        <f t="shared" si="40"/>
        <v>1</v>
      </c>
      <c r="F225" s="175">
        <f t="shared" si="40"/>
        <v>1</v>
      </c>
      <c r="G225" s="175">
        <f t="shared" si="40"/>
        <v>1</v>
      </c>
      <c r="H225" s="175">
        <f t="shared" si="40"/>
        <v>1</v>
      </c>
      <c r="I225" s="175">
        <f t="shared" si="40"/>
        <v>1</v>
      </c>
      <c r="J225" s="175">
        <f t="shared" si="40"/>
        <v>1</v>
      </c>
      <c r="K225" s="175">
        <f t="shared" si="40"/>
        <v>1</v>
      </c>
      <c r="L225" s="175">
        <f t="shared" si="40"/>
        <v>1</v>
      </c>
      <c r="M225" s="175">
        <f t="shared" si="40"/>
        <v>1</v>
      </c>
      <c r="N225" s="175">
        <f t="shared" si="40"/>
        <v>1</v>
      </c>
      <c r="O225" s="175">
        <f t="shared" si="40"/>
        <v>1</v>
      </c>
      <c r="P225" s="175" t="e">
        <f t="shared" si="40"/>
        <v>#DIV/0!</v>
      </c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  <c r="AL225" s="95"/>
      <c r="AM225" s="95"/>
    </row>
    <row r="226" spans="1:39" ht="12.75" customHeight="1" x14ac:dyDescent="0.2">
      <c r="A226" s="95"/>
      <c r="B226" s="142" t="s">
        <v>101</v>
      </c>
      <c r="C226" s="13" t="s">
        <v>9</v>
      </c>
      <c r="D226" s="157"/>
      <c r="E226" s="157"/>
      <c r="F226" s="157"/>
      <c r="G226" s="157"/>
      <c r="H226" s="169"/>
      <c r="I226" s="169"/>
      <c r="J226" s="169"/>
      <c r="K226" s="169"/>
      <c r="L226" s="123"/>
      <c r="M226" s="123"/>
      <c r="N226" s="123"/>
      <c r="O226" s="140"/>
      <c r="P226" s="145" t="e">
        <f t="shared" ref="P226:P232" si="41">AVERAGE(D226:O226)</f>
        <v>#DIV/0!</v>
      </c>
      <c r="Q226" s="95">
        <v>19545</v>
      </c>
      <c r="R226" s="95">
        <f>Q226*1.095</f>
        <v>21401.774999999998</v>
      </c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  <c r="AL226" s="95"/>
      <c r="AM226" s="95"/>
    </row>
    <row r="227" spans="1:39" ht="12.75" customHeight="1" x14ac:dyDescent="0.2">
      <c r="A227" s="95"/>
      <c r="B227" s="19" t="s">
        <v>281</v>
      </c>
      <c r="C227" s="20" t="s">
        <v>11</v>
      </c>
      <c r="D227" s="157"/>
      <c r="E227" s="157"/>
      <c r="F227" s="157"/>
      <c r="G227" s="157"/>
      <c r="H227" s="169"/>
      <c r="I227" s="169"/>
      <c r="J227" s="169"/>
      <c r="K227" s="169"/>
      <c r="L227" s="123"/>
      <c r="M227" s="123"/>
      <c r="N227" s="123"/>
      <c r="O227" s="140"/>
      <c r="P227" s="121" t="e">
        <f t="shared" si="41"/>
        <v>#DIV/0!</v>
      </c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  <c r="AL227" s="95"/>
      <c r="AM227" s="95"/>
    </row>
    <row r="228" spans="1:39" ht="12.75" customHeight="1" x14ac:dyDescent="0.2">
      <c r="A228" s="95"/>
      <c r="B228" s="122"/>
      <c r="C228" s="20" t="s">
        <v>12</v>
      </c>
      <c r="D228" s="157"/>
      <c r="E228" s="157"/>
      <c r="F228" s="157"/>
      <c r="G228" s="157"/>
      <c r="H228" s="169"/>
      <c r="I228" s="169"/>
      <c r="J228" s="169"/>
      <c r="K228" s="169"/>
      <c r="L228" s="123"/>
      <c r="M228" s="123"/>
      <c r="N228" s="123"/>
      <c r="O228" s="140"/>
      <c r="P228" s="121" t="e">
        <f t="shared" si="41"/>
        <v>#DIV/0!</v>
      </c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  <c r="AL228" s="95"/>
      <c r="AM228" s="95"/>
    </row>
    <row r="229" spans="1:39" ht="12.75" customHeight="1" x14ac:dyDescent="0.2">
      <c r="A229" s="95"/>
      <c r="B229" s="122"/>
      <c r="C229" s="20" t="s">
        <v>13</v>
      </c>
      <c r="D229" s="157"/>
      <c r="E229" s="157"/>
      <c r="F229" s="157"/>
      <c r="G229" s="157"/>
      <c r="H229" s="169"/>
      <c r="I229" s="169"/>
      <c r="J229" s="169"/>
      <c r="K229" s="169"/>
      <c r="L229" s="123"/>
      <c r="M229" s="123"/>
      <c r="N229" s="123"/>
      <c r="O229" s="140"/>
      <c r="P229" s="121" t="e">
        <f t="shared" si="41"/>
        <v>#DIV/0!</v>
      </c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  <c r="AL229" s="95"/>
      <c r="AM229" s="95"/>
    </row>
    <row r="230" spans="1:39" ht="12.75" customHeight="1" x14ac:dyDescent="0.2">
      <c r="A230" s="95"/>
      <c r="B230" s="122"/>
      <c r="C230" s="20" t="s">
        <v>14</v>
      </c>
      <c r="D230" s="157"/>
      <c r="E230" s="157"/>
      <c r="F230" s="157"/>
      <c r="G230" s="157"/>
      <c r="H230" s="169"/>
      <c r="I230" s="169"/>
      <c r="J230" s="169"/>
      <c r="K230" s="169"/>
      <c r="L230" s="123"/>
      <c r="M230" s="123"/>
      <c r="N230" s="123"/>
      <c r="O230" s="140"/>
      <c r="P230" s="121" t="e">
        <f t="shared" si="41"/>
        <v>#DIV/0!</v>
      </c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  <c r="AL230" s="95"/>
      <c r="AM230" s="95"/>
    </row>
    <row r="231" spans="1:39" ht="12.75" customHeight="1" x14ac:dyDescent="0.2">
      <c r="A231" s="95"/>
      <c r="B231" s="122"/>
      <c r="C231" s="20" t="s">
        <v>15</v>
      </c>
      <c r="D231" s="157"/>
      <c r="E231" s="157"/>
      <c r="F231" s="157"/>
      <c r="G231" s="157"/>
      <c r="H231" s="169"/>
      <c r="I231" s="169"/>
      <c r="J231" s="169"/>
      <c r="K231" s="169"/>
      <c r="L231" s="123"/>
      <c r="M231" s="123"/>
      <c r="N231" s="123"/>
      <c r="O231" s="140"/>
      <c r="P231" s="121" t="e">
        <f t="shared" si="41"/>
        <v>#DIV/0!</v>
      </c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  <c r="AL231" s="95"/>
      <c r="AM231" s="95"/>
    </row>
    <row r="232" spans="1:39" ht="12.75" customHeight="1" x14ac:dyDescent="0.2">
      <c r="A232" s="95"/>
      <c r="B232" s="122"/>
      <c r="C232" s="20" t="s">
        <v>16</v>
      </c>
      <c r="D232" s="157"/>
      <c r="E232" s="157"/>
      <c r="F232" s="157"/>
      <c r="G232" s="157"/>
      <c r="H232" s="169"/>
      <c r="I232" s="169"/>
      <c r="J232" s="169"/>
      <c r="K232" s="169"/>
      <c r="L232" s="123">
        <v>0.8</v>
      </c>
      <c r="M232" s="123">
        <v>0.8</v>
      </c>
      <c r="N232" s="123">
        <v>0.8</v>
      </c>
      <c r="O232" s="140">
        <v>0.8</v>
      </c>
      <c r="P232" s="121">
        <f t="shared" si="41"/>
        <v>0.8</v>
      </c>
      <c r="Q232" s="95"/>
      <c r="R232" s="95">
        <f>SUM(L226:O232)/4</f>
        <v>0.8</v>
      </c>
      <c r="S232" s="95">
        <f>R232*R226</f>
        <v>17121.419999999998</v>
      </c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  <c r="AL232" s="95"/>
      <c r="AM232" s="95"/>
    </row>
    <row r="233" spans="1:39" ht="12.75" customHeight="1" x14ac:dyDescent="0.2">
      <c r="A233" s="125"/>
      <c r="B233" s="126"/>
      <c r="C233" s="28" t="s">
        <v>17</v>
      </c>
      <c r="D233" s="163"/>
      <c r="E233" s="163"/>
      <c r="F233" s="163"/>
      <c r="G233" s="163"/>
      <c r="H233" s="163"/>
      <c r="I233" s="163"/>
      <c r="J233" s="163"/>
      <c r="K233" s="163"/>
      <c r="L233" s="127"/>
      <c r="M233" s="127"/>
      <c r="N233" s="127"/>
      <c r="O233" s="128"/>
      <c r="P233" s="129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  <c r="AL233" s="95"/>
      <c r="AM233" s="95"/>
    </row>
    <row r="234" spans="1:39" ht="12.75" customHeight="1" x14ac:dyDescent="0.2">
      <c r="A234" s="95"/>
      <c r="B234" s="146" t="str">
        <f>B226</f>
        <v>Ali Pearson</v>
      </c>
      <c r="C234" s="147" t="s">
        <v>241</v>
      </c>
      <c r="D234" s="148">
        <f t="shared" ref="D234:O234" si="42">SUM(D226:D233)</f>
        <v>0</v>
      </c>
      <c r="E234" s="148">
        <f t="shared" si="42"/>
        <v>0</v>
      </c>
      <c r="F234" s="148">
        <f t="shared" si="42"/>
        <v>0</v>
      </c>
      <c r="G234" s="148">
        <f t="shared" si="42"/>
        <v>0</v>
      </c>
      <c r="H234" s="148">
        <f t="shared" si="42"/>
        <v>0</v>
      </c>
      <c r="I234" s="148">
        <f t="shared" si="42"/>
        <v>0</v>
      </c>
      <c r="J234" s="148">
        <f t="shared" si="42"/>
        <v>0</v>
      </c>
      <c r="K234" s="148">
        <f t="shared" si="42"/>
        <v>0</v>
      </c>
      <c r="L234" s="148">
        <f t="shared" si="42"/>
        <v>0.8</v>
      </c>
      <c r="M234" s="148">
        <f t="shared" si="42"/>
        <v>0.8</v>
      </c>
      <c r="N234" s="148">
        <f t="shared" si="42"/>
        <v>0.8</v>
      </c>
      <c r="O234" s="148">
        <f t="shared" si="42"/>
        <v>0.8</v>
      </c>
      <c r="P234" s="129">
        <f t="shared" ref="P234:P241" si="43">AVERAGE(D234:O234)</f>
        <v>0.26666666666666666</v>
      </c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  <c r="AL234" s="95"/>
      <c r="AM234" s="95"/>
    </row>
    <row r="235" spans="1:39" ht="12.75" customHeight="1" x14ac:dyDescent="0.2">
      <c r="A235" s="95"/>
      <c r="B235" s="111" t="s">
        <v>7</v>
      </c>
      <c r="C235" s="36" t="s">
        <v>9</v>
      </c>
      <c r="D235" s="149">
        <v>0.2</v>
      </c>
      <c r="E235" s="149">
        <v>0.2</v>
      </c>
      <c r="F235" s="149">
        <v>0.2</v>
      </c>
      <c r="G235" s="149">
        <v>0.2</v>
      </c>
      <c r="H235" s="150"/>
      <c r="I235" s="150"/>
      <c r="J235" s="150"/>
      <c r="K235" s="150">
        <v>0.1</v>
      </c>
      <c r="L235" s="112">
        <v>0.1</v>
      </c>
      <c r="M235" s="112">
        <v>0.1</v>
      </c>
      <c r="N235" s="112">
        <v>0.1</v>
      </c>
      <c r="O235" s="139">
        <v>0.1</v>
      </c>
      <c r="P235" s="116">
        <f t="shared" si="43"/>
        <v>0.14444444444444449</v>
      </c>
      <c r="Q235" s="95">
        <v>159816.99</v>
      </c>
      <c r="R235" s="95">
        <f>Q235*1.095</f>
        <v>174999.60404999999</v>
      </c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  <c r="AL235" s="95"/>
      <c r="AM235" s="95"/>
    </row>
    <row r="236" spans="1:39" ht="12.75" customHeight="1" x14ac:dyDescent="0.2">
      <c r="A236" s="95"/>
      <c r="B236" s="19" t="s">
        <v>10</v>
      </c>
      <c r="C236" s="20" t="s">
        <v>11</v>
      </c>
      <c r="D236" s="143"/>
      <c r="E236" s="143"/>
      <c r="F236" s="143"/>
      <c r="G236" s="143"/>
      <c r="H236" s="144">
        <v>0.15</v>
      </c>
      <c r="I236" s="144">
        <v>0.15</v>
      </c>
      <c r="J236" s="144">
        <v>0.15</v>
      </c>
      <c r="K236" s="144">
        <v>0.1</v>
      </c>
      <c r="L236" s="123">
        <v>0.1</v>
      </c>
      <c r="M236" s="123">
        <v>0.2</v>
      </c>
      <c r="N236" s="123">
        <v>0.2</v>
      </c>
      <c r="O236" s="140">
        <v>0.2</v>
      </c>
      <c r="P236" s="121">
        <f t="shared" si="43"/>
        <v>0.15624999999999997</v>
      </c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  <c r="AL236" s="95"/>
      <c r="AM236" s="95"/>
    </row>
    <row r="237" spans="1:39" ht="12.75" customHeight="1" x14ac:dyDescent="0.2">
      <c r="A237" s="95"/>
      <c r="B237" s="122"/>
      <c r="C237" s="20" t="s">
        <v>12</v>
      </c>
      <c r="D237" s="143"/>
      <c r="E237" s="143"/>
      <c r="F237" s="143"/>
      <c r="G237" s="143"/>
      <c r="H237" s="144"/>
      <c r="I237" s="144"/>
      <c r="J237" s="144"/>
      <c r="K237" s="144"/>
      <c r="L237" s="123"/>
      <c r="M237" s="123"/>
      <c r="N237" s="123"/>
      <c r="O237" s="140"/>
      <c r="P237" s="121" t="e">
        <f t="shared" si="43"/>
        <v>#DIV/0!</v>
      </c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L237" s="95"/>
      <c r="AM237" s="95"/>
    </row>
    <row r="238" spans="1:39" ht="12.75" customHeight="1" x14ac:dyDescent="0.2">
      <c r="A238" s="95"/>
      <c r="B238" s="122"/>
      <c r="C238" s="20" t="s">
        <v>13</v>
      </c>
      <c r="D238" s="143"/>
      <c r="E238" s="143"/>
      <c r="F238" s="143"/>
      <c r="G238" s="143"/>
      <c r="H238" s="144"/>
      <c r="I238" s="144"/>
      <c r="J238" s="144"/>
      <c r="K238" s="144"/>
      <c r="L238" s="123"/>
      <c r="M238" s="123"/>
      <c r="N238" s="123"/>
      <c r="O238" s="140"/>
      <c r="P238" s="121" t="e">
        <f t="shared" si="43"/>
        <v>#DIV/0!</v>
      </c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  <c r="AL238" s="95"/>
      <c r="AM238" s="95"/>
    </row>
    <row r="239" spans="1:39" ht="12.75" customHeight="1" x14ac:dyDescent="0.2">
      <c r="A239" s="95"/>
      <c r="B239" s="122"/>
      <c r="C239" s="20" t="s">
        <v>14</v>
      </c>
      <c r="D239" s="143"/>
      <c r="E239" s="143"/>
      <c r="F239" s="143"/>
      <c r="G239" s="143"/>
      <c r="H239" s="144"/>
      <c r="I239" s="144"/>
      <c r="J239" s="144"/>
      <c r="K239" s="144"/>
      <c r="L239" s="123"/>
      <c r="M239" s="123"/>
      <c r="N239" s="123"/>
      <c r="O239" s="140"/>
      <c r="P239" s="121" t="e">
        <f t="shared" si="43"/>
        <v>#DIV/0!</v>
      </c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  <c r="AL239" s="95"/>
      <c r="AM239" s="95"/>
    </row>
    <row r="240" spans="1:39" ht="12.75" customHeight="1" x14ac:dyDescent="0.2">
      <c r="A240" s="95"/>
      <c r="B240" s="122"/>
      <c r="C240" s="20" t="s">
        <v>15</v>
      </c>
      <c r="D240" s="143"/>
      <c r="E240" s="143"/>
      <c r="F240" s="143"/>
      <c r="G240" s="143"/>
      <c r="H240" s="144"/>
      <c r="I240" s="144"/>
      <c r="J240" s="144"/>
      <c r="K240" s="144"/>
      <c r="L240" s="123"/>
      <c r="M240" s="123"/>
      <c r="N240" s="123"/>
      <c r="O240" s="140"/>
      <c r="P240" s="121" t="e">
        <f t="shared" si="43"/>
        <v>#DIV/0!</v>
      </c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  <c r="AL240" s="95"/>
      <c r="AM240" s="95"/>
    </row>
    <row r="241" spans="1:39" ht="12.75" customHeight="1" x14ac:dyDescent="0.2">
      <c r="A241" s="95"/>
      <c r="B241" s="176"/>
      <c r="C241" s="177" t="s">
        <v>16</v>
      </c>
      <c r="D241" s="178">
        <v>0.2</v>
      </c>
      <c r="E241" s="178">
        <v>0.15</v>
      </c>
      <c r="F241" s="178">
        <v>0.15</v>
      </c>
      <c r="G241" s="178">
        <v>0.15</v>
      </c>
      <c r="H241" s="179">
        <v>0.2</v>
      </c>
      <c r="I241" s="179">
        <v>0.1</v>
      </c>
      <c r="J241" s="179">
        <v>0.1</v>
      </c>
      <c r="K241" s="179">
        <v>0.2</v>
      </c>
      <c r="L241" s="117">
        <v>0.1</v>
      </c>
      <c r="M241" s="117">
        <v>0.1</v>
      </c>
      <c r="N241" s="117">
        <v>0.1</v>
      </c>
      <c r="O241" s="180">
        <v>0.2</v>
      </c>
      <c r="P241" s="121">
        <f t="shared" si="43"/>
        <v>0.14583333333333334</v>
      </c>
      <c r="Q241" s="95"/>
      <c r="R241" s="95">
        <f>SUM(D235:O241)/12</f>
        <v>0.35833333333333339</v>
      </c>
      <c r="S241" s="95">
        <f>R241*R235</f>
        <v>62708.191451250008</v>
      </c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  <c r="AL241" s="95"/>
      <c r="AM241" s="95"/>
    </row>
    <row r="242" spans="1:39" ht="12.75" customHeight="1" x14ac:dyDescent="0.2">
      <c r="A242" s="125"/>
      <c r="B242" s="126"/>
      <c r="C242" s="28" t="s">
        <v>17</v>
      </c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8"/>
      <c r="P242" s="129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</row>
    <row r="243" spans="1:39" ht="12.75" customHeight="1" x14ac:dyDescent="0.2">
      <c r="A243" s="95"/>
      <c r="B243" s="173" t="str">
        <f>B235</f>
        <v>Beau Leese</v>
      </c>
      <c r="C243" s="174" t="s">
        <v>241</v>
      </c>
      <c r="D243" s="175">
        <f t="shared" ref="D243:O243" si="44">SUM(D235:D242)</f>
        <v>0.4</v>
      </c>
      <c r="E243" s="175">
        <f t="shared" si="44"/>
        <v>0.35</v>
      </c>
      <c r="F243" s="175">
        <f t="shared" si="44"/>
        <v>0.35</v>
      </c>
      <c r="G243" s="175">
        <f t="shared" si="44"/>
        <v>0.35</v>
      </c>
      <c r="H243" s="175">
        <f t="shared" si="44"/>
        <v>0.35</v>
      </c>
      <c r="I243" s="175">
        <f t="shared" si="44"/>
        <v>0.25</v>
      </c>
      <c r="J243" s="175">
        <f t="shared" si="44"/>
        <v>0.25</v>
      </c>
      <c r="K243" s="175">
        <f t="shared" si="44"/>
        <v>0.4</v>
      </c>
      <c r="L243" s="175">
        <f t="shared" si="44"/>
        <v>0.30000000000000004</v>
      </c>
      <c r="M243" s="175">
        <f t="shared" si="44"/>
        <v>0.4</v>
      </c>
      <c r="N243" s="175">
        <f t="shared" si="44"/>
        <v>0.4</v>
      </c>
      <c r="O243" s="175">
        <f t="shared" si="44"/>
        <v>0.5</v>
      </c>
      <c r="P243" s="155">
        <f t="shared" ref="P243:P250" si="45">AVERAGE(D243:O243)</f>
        <v>0.35833333333333334</v>
      </c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</row>
    <row r="244" spans="1:39" ht="12.75" customHeight="1" x14ac:dyDescent="0.2">
      <c r="A244" s="95"/>
      <c r="B244" s="142" t="s">
        <v>19</v>
      </c>
      <c r="C244" s="13" t="s">
        <v>9</v>
      </c>
      <c r="D244" s="143">
        <v>0.05</v>
      </c>
      <c r="E244" s="143">
        <v>0.05</v>
      </c>
      <c r="F244" s="143">
        <v>0.05</v>
      </c>
      <c r="G244" s="143"/>
      <c r="H244" s="144"/>
      <c r="I244" s="144"/>
      <c r="J244" s="144"/>
      <c r="K244" s="144"/>
      <c r="L244" s="123"/>
      <c r="M244" s="123">
        <v>0.05</v>
      </c>
      <c r="N244" s="123">
        <v>0.1</v>
      </c>
      <c r="O244" s="140">
        <v>0.1</v>
      </c>
      <c r="P244" s="145">
        <f t="shared" si="45"/>
        <v>6.6666666666666666E-2</v>
      </c>
      <c r="Q244" s="95"/>
      <c r="R244" s="95">
        <v>153300</v>
      </c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</row>
    <row r="245" spans="1:39" ht="12.75" customHeight="1" x14ac:dyDescent="0.2">
      <c r="A245" s="95"/>
      <c r="B245" s="19" t="s">
        <v>20</v>
      </c>
      <c r="C245" s="20" t="s">
        <v>11</v>
      </c>
      <c r="D245" s="143">
        <v>0.2</v>
      </c>
      <c r="E245" s="143">
        <v>0.1</v>
      </c>
      <c r="F245" s="143">
        <v>0.1</v>
      </c>
      <c r="G245" s="143">
        <v>0.05</v>
      </c>
      <c r="H245" s="144"/>
      <c r="I245" s="144"/>
      <c r="J245" s="144"/>
      <c r="K245" s="144"/>
      <c r="L245" s="123">
        <v>0.05</v>
      </c>
      <c r="M245" s="123">
        <v>0.1</v>
      </c>
      <c r="N245" s="123">
        <v>0.2</v>
      </c>
      <c r="O245" s="140">
        <v>0.2</v>
      </c>
      <c r="P245" s="121">
        <f t="shared" si="45"/>
        <v>0.125</v>
      </c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</row>
    <row r="246" spans="1:39" ht="12.75" customHeight="1" x14ac:dyDescent="0.2">
      <c r="A246" s="95"/>
      <c r="B246" s="122"/>
      <c r="C246" s="20" t="s">
        <v>12</v>
      </c>
      <c r="D246" s="143"/>
      <c r="E246" s="143"/>
      <c r="F246" s="143"/>
      <c r="G246" s="143"/>
      <c r="H246" s="144"/>
      <c r="I246" s="144"/>
      <c r="J246" s="144"/>
      <c r="K246" s="144"/>
      <c r="L246" s="123"/>
      <c r="M246" s="123"/>
      <c r="N246" s="123"/>
      <c r="O246" s="140"/>
      <c r="P246" s="121" t="e">
        <f t="shared" si="45"/>
        <v>#DIV/0!</v>
      </c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  <c r="AL246" s="95"/>
      <c r="AM246" s="95"/>
    </row>
    <row r="247" spans="1:39" ht="12.75" customHeight="1" x14ac:dyDescent="0.2">
      <c r="A247" s="95"/>
      <c r="B247" s="122"/>
      <c r="C247" s="20" t="s">
        <v>13</v>
      </c>
      <c r="D247" s="143"/>
      <c r="E247" s="143"/>
      <c r="F247" s="143"/>
      <c r="G247" s="143"/>
      <c r="H247" s="144"/>
      <c r="I247" s="144"/>
      <c r="J247" s="144"/>
      <c r="K247" s="144"/>
      <c r="L247" s="123"/>
      <c r="M247" s="123"/>
      <c r="N247" s="123"/>
      <c r="O247" s="140"/>
      <c r="P247" s="121" t="e">
        <f t="shared" si="45"/>
        <v>#DIV/0!</v>
      </c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  <c r="AL247" s="95"/>
      <c r="AM247" s="95"/>
    </row>
    <row r="248" spans="1:39" ht="12.75" customHeight="1" x14ac:dyDescent="0.2">
      <c r="A248" s="95"/>
      <c r="B248" s="122"/>
      <c r="C248" s="20" t="s">
        <v>14</v>
      </c>
      <c r="D248" s="143">
        <v>0.05</v>
      </c>
      <c r="E248" s="143"/>
      <c r="F248" s="143"/>
      <c r="G248" s="143"/>
      <c r="H248" s="144">
        <v>0.05</v>
      </c>
      <c r="I248" s="144"/>
      <c r="J248" s="144">
        <v>0.05</v>
      </c>
      <c r="K248" s="144"/>
      <c r="L248" s="123"/>
      <c r="M248" s="123"/>
      <c r="N248" s="123"/>
      <c r="O248" s="140">
        <v>0.05</v>
      </c>
      <c r="P248" s="121">
        <f t="shared" si="45"/>
        <v>0.05</v>
      </c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  <c r="AL248" s="95"/>
      <c r="AM248" s="95"/>
    </row>
    <row r="249" spans="1:39" ht="12.75" customHeight="1" x14ac:dyDescent="0.2">
      <c r="A249" s="95"/>
      <c r="B249" s="122"/>
      <c r="C249" s="20" t="s">
        <v>15</v>
      </c>
      <c r="D249" s="143">
        <v>0.1</v>
      </c>
      <c r="E249" s="143"/>
      <c r="F249" s="143"/>
      <c r="G249" s="143"/>
      <c r="H249" s="144">
        <v>0.05</v>
      </c>
      <c r="I249" s="144"/>
      <c r="J249" s="144">
        <v>0.05</v>
      </c>
      <c r="K249" s="144"/>
      <c r="L249" s="123"/>
      <c r="M249" s="123"/>
      <c r="N249" s="123"/>
      <c r="O249" s="140">
        <v>0.05</v>
      </c>
      <c r="P249" s="121">
        <f t="shared" si="45"/>
        <v>6.25E-2</v>
      </c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  <c r="AL249" s="95"/>
      <c r="AM249" s="95"/>
    </row>
    <row r="250" spans="1:39" ht="12.75" customHeight="1" x14ac:dyDescent="0.2">
      <c r="A250" s="95"/>
      <c r="B250" s="122"/>
      <c r="C250" s="20" t="s">
        <v>16</v>
      </c>
      <c r="D250" s="143">
        <v>0.1</v>
      </c>
      <c r="E250" s="143"/>
      <c r="F250" s="143"/>
      <c r="G250" s="143"/>
      <c r="H250" s="144">
        <v>0.1</v>
      </c>
      <c r="I250" s="144"/>
      <c r="J250" s="144"/>
      <c r="K250" s="144"/>
      <c r="L250" s="123"/>
      <c r="M250" s="123"/>
      <c r="N250" s="123">
        <v>0.1</v>
      </c>
      <c r="O250" s="140">
        <v>0.1</v>
      </c>
      <c r="P250" s="121">
        <f t="shared" si="45"/>
        <v>0.1</v>
      </c>
      <c r="Q250" s="95"/>
      <c r="R250" s="95">
        <f>SUM(D244:O250)/12</f>
        <v>0.18750000000000008</v>
      </c>
      <c r="S250" s="95">
        <f>R250*R244</f>
        <v>28743.750000000015</v>
      </c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  <c r="AL250" s="95"/>
      <c r="AM250" s="95"/>
    </row>
    <row r="251" spans="1:39" ht="12.75" customHeight="1" x14ac:dyDescent="0.2">
      <c r="A251" s="125"/>
      <c r="B251" s="126"/>
      <c r="C251" s="28" t="s">
        <v>17</v>
      </c>
      <c r="D251" s="127">
        <v>0.5</v>
      </c>
      <c r="E251" s="127">
        <v>0.85</v>
      </c>
      <c r="F251" s="127">
        <v>0.85</v>
      </c>
      <c r="G251" s="127">
        <v>0.95</v>
      </c>
      <c r="H251" s="127">
        <v>0.8</v>
      </c>
      <c r="I251" s="127">
        <v>1</v>
      </c>
      <c r="J251" s="127">
        <v>0.9</v>
      </c>
      <c r="K251" s="127">
        <v>1</v>
      </c>
      <c r="L251" s="127">
        <v>0.95</v>
      </c>
      <c r="M251" s="127">
        <v>0.85</v>
      </c>
      <c r="N251" s="127">
        <v>0.6</v>
      </c>
      <c r="O251" s="128">
        <v>0.5</v>
      </c>
      <c r="P251" s="129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  <c r="AL251" s="95"/>
      <c r="AM251" s="95"/>
    </row>
    <row r="252" spans="1:39" ht="12.75" customHeight="1" x14ac:dyDescent="0.2">
      <c r="A252" s="95"/>
      <c r="B252" s="146" t="s">
        <v>19</v>
      </c>
      <c r="C252" s="147" t="s">
        <v>241</v>
      </c>
      <c r="D252" s="148">
        <f t="shared" ref="D252:P252" si="46">SUM(D244:D251)</f>
        <v>1</v>
      </c>
      <c r="E252" s="148">
        <f t="shared" si="46"/>
        <v>1</v>
      </c>
      <c r="F252" s="148">
        <f t="shared" si="46"/>
        <v>1</v>
      </c>
      <c r="G252" s="148">
        <f t="shared" si="46"/>
        <v>1</v>
      </c>
      <c r="H252" s="148">
        <f t="shared" si="46"/>
        <v>1</v>
      </c>
      <c r="I252" s="148">
        <f t="shared" si="46"/>
        <v>1</v>
      </c>
      <c r="J252" s="148">
        <f t="shared" si="46"/>
        <v>1</v>
      </c>
      <c r="K252" s="148">
        <f t="shared" si="46"/>
        <v>1</v>
      </c>
      <c r="L252" s="148">
        <f t="shared" si="46"/>
        <v>1</v>
      </c>
      <c r="M252" s="148">
        <f t="shared" si="46"/>
        <v>1</v>
      </c>
      <c r="N252" s="148">
        <f t="shared" si="46"/>
        <v>1</v>
      </c>
      <c r="O252" s="148">
        <f t="shared" si="46"/>
        <v>1</v>
      </c>
      <c r="P252" s="148" t="e">
        <f t="shared" si="46"/>
        <v>#DIV/0!</v>
      </c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  <c r="AL252" s="95"/>
      <c r="AM252" s="95"/>
    </row>
    <row r="253" spans="1:39" ht="12.75" customHeight="1" x14ac:dyDescent="0.2">
      <c r="A253" s="95"/>
      <c r="B253" s="111" t="s">
        <v>283</v>
      </c>
      <c r="C253" s="36" t="s">
        <v>9</v>
      </c>
      <c r="D253" s="166"/>
      <c r="E253" s="166"/>
      <c r="F253" s="166"/>
      <c r="G253" s="166"/>
      <c r="H253" s="167"/>
      <c r="I253" s="167"/>
      <c r="J253" s="167"/>
      <c r="K253" s="167"/>
      <c r="L253" s="151"/>
      <c r="M253" s="151"/>
      <c r="N253" s="151"/>
      <c r="O253" s="139"/>
      <c r="P253" s="116" t="e">
        <f t="shared" ref="P253:P259" si="47">AVERAGE(D253:O253)</f>
        <v>#DIV/0!</v>
      </c>
      <c r="Q253" s="95"/>
      <c r="R253" s="95">
        <v>11009.51</v>
      </c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  <c r="AL253" s="95"/>
      <c r="AM253" s="95"/>
    </row>
    <row r="254" spans="1:39" ht="12.75" customHeight="1" x14ac:dyDescent="0.2">
      <c r="A254" s="95"/>
      <c r="B254" s="19" t="s">
        <v>284</v>
      </c>
      <c r="C254" s="20" t="s">
        <v>11</v>
      </c>
      <c r="D254" s="157"/>
      <c r="E254" s="157"/>
      <c r="F254" s="157"/>
      <c r="G254" s="157"/>
      <c r="H254" s="169"/>
      <c r="I254" s="169"/>
      <c r="J254" s="169"/>
      <c r="K254" s="169"/>
      <c r="L254" s="153"/>
      <c r="M254" s="153"/>
      <c r="N254" s="153"/>
      <c r="O254" s="140"/>
      <c r="P254" s="121" t="e">
        <f t="shared" si="47"/>
        <v>#DIV/0!</v>
      </c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  <c r="AL254" s="95"/>
      <c r="AM254" s="95"/>
    </row>
    <row r="255" spans="1:39" ht="12.75" customHeight="1" x14ac:dyDescent="0.2">
      <c r="A255" s="95"/>
      <c r="B255" s="122"/>
      <c r="C255" s="20" t="s">
        <v>12</v>
      </c>
      <c r="D255" s="157"/>
      <c r="E255" s="157"/>
      <c r="F255" s="157"/>
      <c r="G255" s="157"/>
      <c r="H255" s="169"/>
      <c r="I255" s="169"/>
      <c r="J255" s="169"/>
      <c r="K255" s="169"/>
      <c r="L255" s="153"/>
      <c r="M255" s="153"/>
      <c r="N255" s="153"/>
      <c r="O255" s="140"/>
      <c r="P255" s="121" t="e">
        <f t="shared" si="47"/>
        <v>#DIV/0!</v>
      </c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  <c r="AL255" s="95"/>
      <c r="AM255" s="95"/>
    </row>
    <row r="256" spans="1:39" ht="12.75" customHeight="1" x14ac:dyDescent="0.2">
      <c r="A256" s="95"/>
      <c r="B256" s="122"/>
      <c r="C256" s="20" t="s">
        <v>13</v>
      </c>
      <c r="D256" s="157"/>
      <c r="E256" s="157"/>
      <c r="F256" s="157"/>
      <c r="G256" s="157"/>
      <c r="H256" s="169"/>
      <c r="I256" s="169"/>
      <c r="J256" s="169"/>
      <c r="K256" s="169"/>
      <c r="L256" s="153"/>
      <c r="M256" s="153"/>
      <c r="N256" s="153"/>
      <c r="O256" s="140"/>
      <c r="P256" s="121" t="e">
        <f t="shared" si="47"/>
        <v>#DIV/0!</v>
      </c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L256" s="95"/>
      <c r="AM256" s="95"/>
    </row>
    <row r="257" spans="1:39" ht="12.75" customHeight="1" x14ac:dyDescent="0.2">
      <c r="A257" s="95"/>
      <c r="B257" s="122"/>
      <c r="C257" s="20" t="s">
        <v>14</v>
      </c>
      <c r="D257" s="157"/>
      <c r="E257" s="157"/>
      <c r="F257" s="157"/>
      <c r="G257" s="157"/>
      <c r="H257" s="169"/>
      <c r="I257" s="169"/>
      <c r="J257" s="169"/>
      <c r="K257" s="169"/>
      <c r="L257" s="153"/>
      <c r="M257" s="153"/>
      <c r="N257" s="153"/>
      <c r="O257" s="140"/>
      <c r="P257" s="121" t="e">
        <f t="shared" si="47"/>
        <v>#DIV/0!</v>
      </c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  <c r="AL257" s="95"/>
      <c r="AM257" s="95"/>
    </row>
    <row r="258" spans="1:39" ht="12.75" customHeight="1" x14ac:dyDescent="0.2">
      <c r="A258" s="95"/>
      <c r="B258" s="122"/>
      <c r="C258" s="20" t="s">
        <v>15</v>
      </c>
      <c r="D258" s="157"/>
      <c r="E258" s="157"/>
      <c r="F258" s="157"/>
      <c r="G258" s="157"/>
      <c r="H258" s="169"/>
      <c r="I258" s="169"/>
      <c r="J258" s="169"/>
      <c r="K258" s="169"/>
      <c r="L258" s="153"/>
      <c r="M258" s="153"/>
      <c r="N258" s="153"/>
      <c r="O258" s="140"/>
      <c r="P258" s="121" t="e">
        <f t="shared" si="47"/>
        <v>#DIV/0!</v>
      </c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  <c r="AL258" s="95"/>
      <c r="AM258" s="95"/>
    </row>
    <row r="259" spans="1:39" ht="12.75" customHeight="1" x14ac:dyDescent="0.2">
      <c r="A259" s="95"/>
      <c r="B259" s="176"/>
      <c r="C259" s="177" t="s">
        <v>16</v>
      </c>
      <c r="D259" s="181"/>
      <c r="E259" s="181"/>
      <c r="F259" s="181"/>
      <c r="G259" s="181"/>
      <c r="H259" s="182"/>
      <c r="I259" s="182"/>
      <c r="J259" s="182"/>
      <c r="K259" s="182"/>
      <c r="L259" s="183"/>
      <c r="M259" s="183"/>
      <c r="N259" s="183"/>
      <c r="O259" s="180">
        <v>0.4</v>
      </c>
      <c r="P259" s="121">
        <f t="shared" si="47"/>
        <v>0.4</v>
      </c>
      <c r="Q259" s="95"/>
      <c r="R259" s="95">
        <f>SUM(O253:O259)/1</f>
        <v>0.4</v>
      </c>
      <c r="S259" s="95">
        <f>R259*R253</f>
        <v>4403.8040000000001</v>
      </c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  <c r="AL259" s="95"/>
      <c r="AM259" s="95"/>
    </row>
    <row r="260" spans="1:39" ht="12.75" customHeight="1" x14ac:dyDescent="0.2">
      <c r="A260" s="125"/>
      <c r="B260" s="126"/>
      <c r="C260" s="28" t="s">
        <v>17</v>
      </c>
      <c r="D260" s="163"/>
      <c r="E260" s="163"/>
      <c r="F260" s="163"/>
      <c r="G260" s="163"/>
      <c r="H260" s="163"/>
      <c r="I260" s="163"/>
      <c r="J260" s="163"/>
      <c r="K260" s="163"/>
      <c r="L260" s="163"/>
      <c r="M260" s="163"/>
      <c r="N260" s="163"/>
      <c r="O260" s="128">
        <v>0.6</v>
      </c>
      <c r="P260" s="129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  <c r="AL260" s="95"/>
      <c r="AM260" s="95"/>
    </row>
    <row r="261" spans="1:39" ht="12.75" customHeight="1" x14ac:dyDescent="0.2">
      <c r="A261" s="95"/>
      <c r="B261" s="173" t="str">
        <f>B253</f>
        <v>Shi-Shi Truong</v>
      </c>
      <c r="C261" s="174" t="s">
        <v>241</v>
      </c>
      <c r="D261" s="175">
        <f t="shared" ref="D261:O261" si="48">SUM(D253:D260)</f>
        <v>0</v>
      </c>
      <c r="E261" s="175">
        <f t="shared" si="48"/>
        <v>0</v>
      </c>
      <c r="F261" s="175">
        <f t="shared" si="48"/>
        <v>0</v>
      </c>
      <c r="G261" s="175">
        <f t="shared" si="48"/>
        <v>0</v>
      </c>
      <c r="H261" s="175">
        <f t="shared" si="48"/>
        <v>0</v>
      </c>
      <c r="I261" s="175">
        <f t="shared" si="48"/>
        <v>0</v>
      </c>
      <c r="J261" s="175">
        <f t="shared" si="48"/>
        <v>0</v>
      </c>
      <c r="K261" s="175">
        <f t="shared" si="48"/>
        <v>0</v>
      </c>
      <c r="L261" s="175">
        <f t="shared" si="48"/>
        <v>0</v>
      </c>
      <c r="M261" s="175">
        <f t="shared" si="48"/>
        <v>0</v>
      </c>
      <c r="N261" s="175">
        <f t="shared" si="48"/>
        <v>0</v>
      </c>
      <c r="O261" s="175">
        <f t="shared" si="48"/>
        <v>1</v>
      </c>
      <c r="P261" s="155">
        <f t="shared" ref="P261:P268" si="49">AVERAGE(D261:O261)</f>
        <v>8.3333333333333329E-2</v>
      </c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  <c r="AL261" s="95"/>
      <c r="AM261" s="95"/>
    </row>
    <row r="262" spans="1:39" ht="12.75" customHeight="1" x14ac:dyDescent="0.2">
      <c r="A262" s="95"/>
      <c r="B262" s="142" t="s">
        <v>285</v>
      </c>
      <c r="C262" s="13" t="s">
        <v>9</v>
      </c>
      <c r="D262" s="157"/>
      <c r="E262" s="157"/>
      <c r="F262" s="157"/>
      <c r="G262" s="157"/>
      <c r="H262" s="169"/>
      <c r="I262" s="144"/>
      <c r="J262" s="144"/>
      <c r="K262" s="144"/>
      <c r="L262" s="123"/>
      <c r="M262" s="123"/>
      <c r="N262" s="123"/>
      <c r="O262" s="140"/>
      <c r="P262" s="145" t="e">
        <f t="shared" si="49"/>
        <v>#DIV/0!</v>
      </c>
      <c r="Q262" s="95"/>
      <c r="R262" s="95">
        <v>40025</v>
      </c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  <c r="AL262" s="95"/>
      <c r="AM262" s="95"/>
    </row>
    <row r="263" spans="1:39" ht="12.75" customHeight="1" x14ac:dyDescent="0.2">
      <c r="A263" s="95"/>
      <c r="B263" s="19" t="s">
        <v>286</v>
      </c>
      <c r="C263" s="20" t="s">
        <v>11</v>
      </c>
      <c r="D263" s="157"/>
      <c r="E263" s="157"/>
      <c r="F263" s="157"/>
      <c r="G263" s="157"/>
      <c r="H263" s="169"/>
      <c r="I263" s="144">
        <v>0.5</v>
      </c>
      <c r="J263" s="144">
        <v>0.45</v>
      </c>
      <c r="K263" s="144">
        <v>0.45</v>
      </c>
      <c r="L263" s="123">
        <v>0.4</v>
      </c>
      <c r="M263" s="123">
        <v>0.3</v>
      </c>
      <c r="N263" s="123">
        <v>0.3</v>
      </c>
      <c r="O263" s="140">
        <v>0.3</v>
      </c>
      <c r="P263" s="121">
        <f t="shared" si="49"/>
        <v>0.38571428571428562</v>
      </c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  <c r="AL263" s="95"/>
      <c r="AM263" s="95"/>
    </row>
    <row r="264" spans="1:39" ht="12.75" customHeight="1" x14ac:dyDescent="0.2">
      <c r="A264" s="95"/>
      <c r="B264" s="122"/>
      <c r="C264" s="20" t="s">
        <v>12</v>
      </c>
      <c r="D264" s="157"/>
      <c r="E264" s="157"/>
      <c r="F264" s="157"/>
      <c r="G264" s="157"/>
      <c r="H264" s="169"/>
      <c r="I264" s="144"/>
      <c r="J264" s="144"/>
      <c r="K264" s="144">
        <v>0.05</v>
      </c>
      <c r="L264" s="123">
        <v>0.2</v>
      </c>
      <c r="M264" s="123">
        <v>0.3</v>
      </c>
      <c r="N264" s="123">
        <v>0.3</v>
      </c>
      <c r="O264" s="140">
        <v>0.3</v>
      </c>
      <c r="P264" s="121">
        <f t="shared" si="49"/>
        <v>0.23000000000000004</v>
      </c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  <c r="AL264" s="95"/>
      <c r="AM264" s="95"/>
    </row>
    <row r="265" spans="1:39" ht="12.75" customHeight="1" x14ac:dyDescent="0.2">
      <c r="A265" s="95"/>
      <c r="B265" s="122"/>
      <c r="C265" s="20" t="s">
        <v>13</v>
      </c>
      <c r="D265" s="157"/>
      <c r="E265" s="157"/>
      <c r="F265" s="157"/>
      <c r="G265" s="157"/>
      <c r="H265" s="169"/>
      <c r="I265" s="144"/>
      <c r="J265" s="144"/>
      <c r="K265" s="144"/>
      <c r="L265" s="123"/>
      <c r="M265" s="123"/>
      <c r="N265" s="123"/>
      <c r="O265" s="140"/>
      <c r="P265" s="121" t="e">
        <f t="shared" si="49"/>
        <v>#DIV/0!</v>
      </c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  <c r="AL265" s="95"/>
      <c r="AM265" s="95"/>
    </row>
    <row r="266" spans="1:39" ht="12.75" customHeight="1" x14ac:dyDescent="0.2">
      <c r="A266" s="95"/>
      <c r="B266" s="122"/>
      <c r="C266" s="20" t="s">
        <v>14</v>
      </c>
      <c r="D266" s="157"/>
      <c r="E266" s="157"/>
      <c r="F266" s="157"/>
      <c r="G266" s="157"/>
      <c r="H266" s="169"/>
      <c r="I266" s="144"/>
      <c r="J266" s="144"/>
      <c r="K266" s="144"/>
      <c r="L266" s="123"/>
      <c r="M266" s="123"/>
      <c r="N266" s="123"/>
      <c r="O266" s="140"/>
      <c r="P266" s="121" t="e">
        <f t="shared" si="49"/>
        <v>#DIV/0!</v>
      </c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  <c r="AL266" s="95"/>
      <c r="AM266" s="95"/>
    </row>
    <row r="267" spans="1:39" ht="12.75" customHeight="1" x14ac:dyDescent="0.2">
      <c r="A267" s="95"/>
      <c r="B267" s="122"/>
      <c r="C267" s="20" t="s">
        <v>15</v>
      </c>
      <c r="D267" s="157"/>
      <c r="E267" s="157"/>
      <c r="F267" s="157"/>
      <c r="G267" s="157"/>
      <c r="H267" s="169"/>
      <c r="I267" s="144"/>
      <c r="J267" s="144"/>
      <c r="K267" s="144"/>
      <c r="L267" s="123"/>
      <c r="M267" s="123"/>
      <c r="N267" s="123"/>
      <c r="O267" s="140"/>
      <c r="P267" s="121" t="e">
        <f t="shared" si="49"/>
        <v>#DIV/0!</v>
      </c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L267" s="95"/>
      <c r="AM267" s="95"/>
    </row>
    <row r="268" spans="1:39" ht="12.75" customHeight="1" x14ac:dyDescent="0.2">
      <c r="A268" s="95"/>
      <c r="B268" s="122"/>
      <c r="C268" s="20" t="s">
        <v>16</v>
      </c>
      <c r="D268" s="157"/>
      <c r="E268" s="157"/>
      <c r="F268" s="157"/>
      <c r="G268" s="157"/>
      <c r="H268" s="169"/>
      <c r="I268" s="144">
        <v>0.5</v>
      </c>
      <c r="J268" s="144">
        <v>0.5</v>
      </c>
      <c r="K268" s="144">
        <v>0.4</v>
      </c>
      <c r="L268" s="123">
        <v>0.3</v>
      </c>
      <c r="M268" s="123">
        <v>0.3</v>
      </c>
      <c r="N268" s="123">
        <v>0.3</v>
      </c>
      <c r="O268" s="140">
        <v>0.3</v>
      </c>
      <c r="P268" s="121">
        <f t="shared" si="49"/>
        <v>0.37142857142857139</v>
      </c>
      <c r="Q268" s="95"/>
      <c r="R268" s="95">
        <f>SUM(I262:O268)/7</f>
        <v>0.92142857142857115</v>
      </c>
      <c r="S268" s="95">
        <f>R268*R262</f>
        <v>36880.178571428558</v>
      </c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  <c r="AL268" s="95"/>
      <c r="AM268" s="95"/>
    </row>
    <row r="269" spans="1:39" ht="12.75" customHeight="1" x14ac:dyDescent="0.2">
      <c r="A269" s="125"/>
      <c r="B269" s="126"/>
      <c r="C269" s="28" t="s">
        <v>17</v>
      </c>
      <c r="D269" s="163"/>
      <c r="E269" s="163"/>
      <c r="F269" s="163"/>
      <c r="G269" s="163"/>
      <c r="H269" s="163"/>
      <c r="I269" s="127"/>
      <c r="J269" s="127">
        <v>0.05</v>
      </c>
      <c r="K269" s="127">
        <v>0.1</v>
      </c>
      <c r="L269" s="127">
        <v>0.1</v>
      </c>
      <c r="M269" s="127">
        <v>0.1</v>
      </c>
      <c r="N269" s="127">
        <v>0.1</v>
      </c>
      <c r="O269" s="128">
        <v>0.1</v>
      </c>
      <c r="P269" s="129"/>
      <c r="Q269" s="95" t="s">
        <v>287</v>
      </c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  <c r="AL269" s="95"/>
      <c r="AM269" s="95"/>
    </row>
    <row r="270" spans="1:39" ht="12.75" customHeight="1" x14ac:dyDescent="0.2">
      <c r="A270" s="95"/>
      <c r="B270" s="146" t="str">
        <f>B262</f>
        <v>Megan Underwood</v>
      </c>
      <c r="C270" s="147" t="s">
        <v>241</v>
      </c>
      <c r="D270" s="148">
        <f t="shared" ref="D270:O270" si="50">SUM(D262:D269)</f>
        <v>0</v>
      </c>
      <c r="E270" s="148">
        <f t="shared" si="50"/>
        <v>0</v>
      </c>
      <c r="F270" s="148">
        <f t="shared" si="50"/>
        <v>0</v>
      </c>
      <c r="G270" s="148">
        <f t="shared" si="50"/>
        <v>0</v>
      </c>
      <c r="H270" s="148">
        <f t="shared" si="50"/>
        <v>0</v>
      </c>
      <c r="I270" s="148">
        <f t="shared" si="50"/>
        <v>1</v>
      </c>
      <c r="J270" s="148">
        <f t="shared" si="50"/>
        <v>1</v>
      </c>
      <c r="K270" s="148">
        <f t="shared" si="50"/>
        <v>1</v>
      </c>
      <c r="L270" s="148">
        <f t="shared" si="50"/>
        <v>1.0000000000000002</v>
      </c>
      <c r="M270" s="148">
        <f t="shared" si="50"/>
        <v>0.99999999999999989</v>
      </c>
      <c r="N270" s="148">
        <f t="shared" si="50"/>
        <v>0.99999999999999989</v>
      </c>
      <c r="O270" s="148">
        <f t="shared" si="50"/>
        <v>0.99999999999999989</v>
      </c>
      <c r="P270" s="129">
        <f>AVERAGE(D270:O270)</f>
        <v>0.58333333333333337</v>
      </c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  <c r="AL270" s="95"/>
      <c r="AM270" s="95"/>
    </row>
    <row r="271" spans="1:39" ht="12.75" customHeight="1" x14ac:dyDescent="0.2">
      <c r="A271" s="95"/>
      <c r="B271" s="142" t="s">
        <v>48</v>
      </c>
      <c r="C271" s="13" t="s">
        <v>9</v>
      </c>
      <c r="D271" s="157"/>
      <c r="E271" s="157"/>
      <c r="F271" s="157"/>
      <c r="G271" s="157"/>
      <c r="H271" s="169"/>
      <c r="I271" s="144"/>
      <c r="J271" s="144"/>
      <c r="K271" s="144"/>
      <c r="L271" s="123"/>
      <c r="M271" s="123"/>
      <c r="N271" s="123"/>
      <c r="O271" s="140"/>
      <c r="P271" s="161"/>
      <c r="Q271" s="95"/>
      <c r="R271" s="95">
        <v>7185</v>
      </c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  <c r="AL271" s="95"/>
      <c r="AM271" s="95"/>
    </row>
    <row r="272" spans="1:39" ht="12.75" customHeight="1" x14ac:dyDescent="0.2">
      <c r="A272" s="95"/>
      <c r="B272" s="19" t="s">
        <v>288</v>
      </c>
      <c r="C272" s="20" t="s">
        <v>11</v>
      </c>
      <c r="D272" s="157"/>
      <c r="E272" s="157"/>
      <c r="F272" s="157"/>
      <c r="G272" s="157"/>
      <c r="H272" s="169"/>
      <c r="I272" s="144"/>
      <c r="J272" s="144"/>
      <c r="K272" s="144"/>
      <c r="L272" s="123"/>
      <c r="M272" s="123"/>
      <c r="N272" s="123"/>
      <c r="O272" s="140"/>
      <c r="P272" s="161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  <c r="AL272" s="95"/>
      <c r="AM272" s="95"/>
    </row>
    <row r="273" spans="1:39" ht="12.75" customHeight="1" x14ac:dyDescent="0.2">
      <c r="A273" s="95"/>
      <c r="B273" s="122"/>
      <c r="C273" s="20" t="s">
        <v>12</v>
      </c>
      <c r="D273" s="157"/>
      <c r="E273" s="157"/>
      <c r="F273" s="157"/>
      <c r="G273" s="157"/>
      <c r="H273" s="169"/>
      <c r="I273" s="144"/>
      <c r="J273" s="144"/>
      <c r="K273" s="144"/>
      <c r="L273" s="123"/>
      <c r="M273" s="123"/>
      <c r="N273" s="123"/>
      <c r="O273" s="140"/>
      <c r="P273" s="161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  <c r="AL273" s="95"/>
      <c r="AM273" s="95"/>
    </row>
    <row r="274" spans="1:39" ht="12.75" customHeight="1" x14ac:dyDescent="0.2">
      <c r="A274" s="95"/>
      <c r="B274" s="122"/>
      <c r="C274" s="20" t="s">
        <v>13</v>
      </c>
      <c r="D274" s="157"/>
      <c r="E274" s="157"/>
      <c r="F274" s="157"/>
      <c r="G274" s="157"/>
      <c r="H274" s="169"/>
      <c r="I274" s="144"/>
      <c r="J274" s="144"/>
      <c r="K274" s="144"/>
      <c r="L274" s="123"/>
      <c r="M274" s="123"/>
      <c r="N274" s="123"/>
      <c r="O274" s="140"/>
      <c r="P274" s="161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  <c r="AL274" s="95"/>
      <c r="AM274" s="95"/>
    </row>
    <row r="275" spans="1:39" ht="12.75" customHeight="1" x14ac:dyDescent="0.2">
      <c r="A275" s="95"/>
      <c r="B275" s="122"/>
      <c r="C275" s="20" t="s">
        <v>14</v>
      </c>
      <c r="D275" s="157"/>
      <c r="E275" s="157"/>
      <c r="F275" s="157"/>
      <c r="G275" s="157"/>
      <c r="H275" s="169"/>
      <c r="I275" s="144"/>
      <c r="J275" s="144"/>
      <c r="K275" s="144"/>
      <c r="L275" s="123"/>
      <c r="M275" s="123"/>
      <c r="N275" s="123"/>
      <c r="O275" s="140"/>
      <c r="P275" s="161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  <c r="AL275" s="95"/>
      <c r="AM275" s="95"/>
    </row>
    <row r="276" spans="1:39" ht="12.75" customHeight="1" x14ac:dyDescent="0.2">
      <c r="A276" s="95"/>
      <c r="B276" s="122"/>
      <c r="C276" s="20" t="s">
        <v>15</v>
      </c>
      <c r="D276" s="157"/>
      <c r="E276" s="157"/>
      <c r="F276" s="157"/>
      <c r="G276" s="157"/>
      <c r="H276" s="169"/>
      <c r="I276" s="144"/>
      <c r="J276" s="144"/>
      <c r="K276" s="144"/>
      <c r="L276" s="123"/>
      <c r="M276" s="123"/>
      <c r="N276" s="123"/>
      <c r="O276" s="140"/>
      <c r="P276" s="161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  <c r="AL276" s="95"/>
      <c r="AM276" s="95"/>
    </row>
    <row r="277" spans="1:39" ht="12.75" customHeight="1" x14ac:dyDescent="0.2">
      <c r="A277" s="95"/>
      <c r="B277" s="122"/>
      <c r="C277" s="20" t="s">
        <v>16</v>
      </c>
      <c r="D277" s="157"/>
      <c r="E277" s="157"/>
      <c r="F277" s="157"/>
      <c r="G277" s="157"/>
      <c r="H277" s="169"/>
      <c r="I277" s="144">
        <v>0.5</v>
      </c>
      <c r="J277" s="144">
        <v>0.5</v>
      </c>
      <c r="K277" s="144">
        <v>0.5</v>
      </c>
      <c r="L277" s="123">
        <v>0.5</v>
      </c>
      <c r="M277" s="123">
        <v>0.5</v>
      </c>
      <c r="N277" s="123">
        <v>0.5</v>
      </c>
      <c r="O277" s="140">
        <v>0.5</v>
      </c>
      <c r="P277" s="161"/>
      <c r="Q277" s="95"/>
      <c r="R277" s="95">
        <f>SUM(I271:P277)/7</f>
        <v>0.5</v>
      </c>
      <c r="S277" s="95">
        <f>R277*R271</f>
        <v>3592.5</v>
      </c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  <c r="AL277" s="95"/>
      <c r="AM277" s="95"/>
    </row>
    <row r="278" spans="1:39" ht="12.75" customHeight="1" x14ac:dyDescent="0.2">
      <c r="A278" s="95"/>
      <c r="B278" s="126"/>
      <c r="C278" s="28" t="s">
        <v>17</v>
      </c>
      <c r="D278" s="163"/>
      <c r="E278" s="163"/>
      <c r="F278" s="163"/>
      <c r="G278" s="163"/>
      <c r="H278" s="163"/>
      <c r="I278" s="127">
        <v>0.5</v>
      </c>
      <c r="J278" s="127">
        <v>0.5</v>
      </c>
      <c r="K278" s="127">
        <v>0.5</v>
      </c>
      <c r="L278" s="127">
        <v>0.5</v>
      </c>
      <c r="M278" s="127">
        <v>0.5</v>
      </c>
      <c r="N278" s="127">
        <v>0.5</v>
      </c>
      <c r="O278" s="128">
        <v>0.5</v>
      </c>
      <c r="P278" s="161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  <c r="AL278" s="95"/>
      <c r="AM278" s="95"/>
    </row>
    <row r="279" spans="1:39" ht="12.75" customHeight="1" x14ac:dyDescent="0.2">
      <c r="A279" s="95"/>
      <c r="B279" s="146" t="str">
        <f>B271</f>
        <v>Sharon Roy</v>
      </c>
      <c r="C279" s="147" t="s">
        <v>241</v>
      </c>
      <c r="D279" s="148">
        <f t="shared" ref="D279:O279" si="51">SUM(D271:D278)</f>
        <v>0</v>
      </c>
      <c r="E279" s="148">
        <f t="shared" si="51"/>
        <v>0</v>
      </c>
      <c r="F279" s="148">
        <f t="shared" si="51"/>
        <v>0</v>
      </c>
      <c r="G279" s="148">
        <f t="shared" si="51"/>
        <v>0</v>
      </c>
      <c r="H279" s="148">
        <f t="shared" si="51"/>
        <v>0</v>
      </c>
      <c r="I279" s="148">
        <f t="shared" si="51"/>
        <v>1</v>
      </c>
      <c r="J279" s="148">
        <f t="shared" si="51"/>
        <v>1</v>
      </c>
      <c r="K279" s="148">
        <f t="shared" si="51"/>
        <v>1</v>
      </c>
      <c r="L279" s="148">
        <f t="shared" si="51"/>
        <v>1</v>
      </c>
      <c r="M279" s="148">
        <f t="shared" si="51"/>
        <v>1</v>
      </c>
      <c r="N279" s="148">
        <f t="shared" si="51"/>
        <v>1</v>
      </c>
      <c r="O279" s="148">
        <f t="shared" si="51"/>
        <v>1</v>
      </c>
      <c r="P279" s="161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  <c r="AL279" s="95"/>
      <c r="AM279" s="95"/>
    </row>
    <row r="280" spans="1:39" ht="12.75" customHeight="1" x14ac:dyDescent="0.2">
      <c r="A280" s="95"/>
      <c r="B280" s="142" t="s">
        <v>289</v>
      </c>
      <c r="C280" s="13" t="s">
        <v>9</v>
      </c>
      <c r="D280" s="157"/>
      <c r="E280" s="157"/>
      <c r="F280" s="157"/>
      <c r="G280" s="157"/>
      <c r="H280" s="169"/>
      <c r="I280" s="169"/>
      <c r="J280" s="169"/>
      <c r="K280" s="169"/>
      <c r="L280" s="123"/>
      <c r="M280" s="123"/>
      <c r="N280" s="123"/>
      <c r="O280" s="140"/>
      <c r="P280" s="161"/>
      <c r="Q280" s="95"/>
      <c r="R280" s="95">
        <v>19583</v>
      </c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  <c r="AL280" s="95"/>
      <c r="AM280" s="95"/>
    </row>
    <row r="281" spans="1:39" ht="12.75" customHeight="1" x14ac:dyDescent="0.2">
      <c r="A281" s="95"/>
      <c r="B281" s="19" t="s">
        <v>286</v>
      </c>
      <c r="C281" s="20" t="s">
        <v>11</v>
      </c>
      <c r="D281" s="157"/>
      <c r="E281" s="157"/>
      <c r="F281" s="157"/>
      <c r="G281" s="157"/>
      <c r="H281" s="169"/>
      <c r="I281" s="169"/>
      <c r="J281" s="169"/>
      <c r="K281" s="169"/>
      <c r="L281" s="123">
        <v>0.75</v>
      </c>
      <c r="M281" s="123">
        <v>0.7</v>
      </c>
      <c r="N281" s="123">
        <v>0.7</v>
      </c>
      <c r="O281" s="140">
        <v>0.7</v>
      </c>
      <c r="P281" s="161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  <c r="AL281" s="95"/>
      <c r="AM281" s="95"/>
    </row>
    <row r="282" spans="1:39" ht="12.75" customHeight="1" x14ac:dyDescent="0.2">
      <c r="A282" s="95"/>
      <c r="B282" s="122"/>
      <c r="C282" s="20" t="s">
        <v>12</v>
      </c>
      <c r="D282" s="157"/>
      <c r="E282" s="157"/>
      <c r="F282" s="157"/>
      <c r="G282" s="157"/>
      <c r="H282" s="169"/>
      <c r="I282" s="169"/>
      <c r="J282" s="169"/>
      <c r="K282" s="169"/>
      <c r="L282" s="123"/>
      <c r="M282" s="123"/>
      <c r="N282" s="123"/>
      <c r="O282" s="140"/>
      <c r="P282" s="161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  <c r="AL282" s="95"/>
      <c r="AM282" s="95"/>
    </row>
    <row r="283" spans="1:39" ht="12.75" customHeight="1" x14ac:dyDescent="0.2">
      <c r="A283" s="95"/>
      <c r="B283" s="122"/>
      <c r="C283" s="20" t="s">
        <v>13</v>
      </c>
      <c r="D283" s="157"/>
      <c r="E283" s="157"/>
      <c r="F283" s="157"/>
      <c r="G283" s="157"/>
      <c r="H283" s="169"/>
      <c r="I283" s="169"/>
      <c r="J283" s="169"/>
      <c r="K283" s="169"/>
      <c r="L283" s="123">
        <v>0.15</v>
      </c>
      <c r="M283" s="123">
        <v>0.2</v>
      </c>
      <c r="N283" s="123">
        <v>0.2</v>
      </c>
      <c r="O283" s="140">
        <v>0.2</v>
      </c>
      <c r="P283" s="161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  <c r="AL283" s="95"/>
      <c r="AM283" s="95"/>
    </row>
    <row r="284" spans="1:39" ht="12.75" customHeight="1" x14ac:dyDescent="0.2">
      <c r="A284" s="95"/>
      <c r="B284" s="122"/>
      <c r="C284" s="20" t="s">
        <v>14</v>
      </c>
      <c r="D284" s="157"/>
      <c r="E284" s="157"/>
      <c r="F284" s="157"/>
      <c r="G284" s="157"/>
      <c r="H284" s="169"/>
      <c r="I284" s="169"/>
      <c r="J284" s="169"/>
      <c r="K284" s="169"/>
      <c r="L284" s="123"/>
      <c r="M284" s="123"/>
      <c r="N284" s="123"/>
      <c r="O284" s="140"/>
      <c r="P284" s="161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  <c r="AL284" s="95"/>
      <c r="AM284" s="95"/>
    </row>
    <row r="285" spans="1:39" ht="12.75" customHeight="1" x14ac:dyDescent="0.2">
      <c r="A285" s="95"/>
      <c r="B285" s="122"/>
      <c r="C285" s="20" t="s">
        <v>15</v>
      </c>
      <c r="D285" s="157"/>
      <c r="E285" s="157"/>
      <c r="F285" s="157"/>
      <c r="G285" s="157"/>
      <c r="H285" s="169"/>
      <c r="I285" s="169"/>
      <c r="J285" s="169"/>
      <c r="K285" s="169"/>
      <c r="L285" s="123"/>
      <c r="M285" s="123"/>
      <c r="N285" s="123"/>
      <c r="O285" s="140"/>
      <c r="P285" s="161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  <c r="AL285" s="95"/>
      <c r="AM285" s="95"/>
    </row>
    <row r="286" spans="1:39" ht="12.75" customHeight="1" x14ac:dyDescent="0.2">
      <c r="A286" s="95"/>
      <c r="B286" s="122"/>
      <c r="C286" s="20" t="s">
        <v>16</v>
      </c>
      <c r="D286" s="157"/>
      <c r="E286" s="157"/>
      <c r="F286" s="157"/>
      <c r="G286" s="157"/>
      <c r="H286" s="169"/>
      <c r="I286" s="169"/>
      <c r="J286" s="169"/>
      <c r="K286" s="169"/>
      <c r="L286" s="123"/>
      <c r="M286" s="123"/>
      <c r="N286" s="123"/>
      <c r="O286" s="140"/>
      <c r="P286" s="161"/>
      <c r="Q286" s="95"/>
      <c r="R286" s="95">
        <f>SUM(L280:O286)/4</f>
        <v>0.9</v>
      </c>
      <c r="S286" s="95">
        <f>R286*R280</f>
        <v>17624.7</v>
      </c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  <c r="AL286" s="95"/>
      <c r="AM286" s="95"/>
    </row>
    <row r="287" spans="1:39" ht="12.75" customHeight="1" x14ac:dyDescent="0.2">
      <c r="A287" s="95"/>
      <c r="B287" s="126"/>
      <c r="C287" s="28" t="s">
        <v>17</v>
      </c>
      <c r="D287" s="163"/>
      <c r="E287" s="163"/>
      <c r="F287" s="163"/>
      <c r="G287" s="163"/>
      <c r="H287" s="163"/>
      <c r="I287" s="163"/>
      <c r="J287" s="163"/>
      <c r="K287" s="163"/>
      <c r="L287" s="127">
        <v>0.1</v>
      </c>
      <c r="M287" s="127">
        <v>0.1</v>
      </c>
      <c r="N287" s="127">
        <v>0.1</v>
      </c>
      <c r="O287" s="128">
        <v>0.1</v>
      </c>
      <c r="P287" s="161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  <c r="AL287" s="95"/>
      <c r="AM287" s="95"/>
    </row>
    <row r="288" spans="1:39" ht="12.75" customHeight="1" x14ac:dyDescent="0.2">
      <c r="A288" s="95"/>
      <c r="B288" s="146" t="str">
        <f>B280</f>
        <v>Suzi Kim</v>
      </c>
      <c r="C288" s="147" t="s">
        <v>241</v>
      </c>
      <c r="D288" s="148">
        <f t="shared" ref="D288:O288" si="52">SUM(D280:D287)</f>
        <v>0</v>
      </c>
      <c r="E288" s="148">
        <f t="shared" si="52"/>
        <v>0</v>
      </c>
      <c r="F288" s="148">
        <f t="shared" si="52"/>
        <v>0</v>
      </c>
      <c r="G288" s="148">
        <f t="shared" si="52"/>
        <v>0</v>
      </c>
      <c r="H288" s="148">
        <f t="shared" si="52"/>
        <v>0</v>
      </c>
      <c r="I288" s="148">
        <f t="shared" si="52"/>
        <v>0</v>
      </c>
      <c r="J288" s="148">
        <f t="shared" si="52"/>
        <v>0</v>
      </c>
      <c r="K288" s="148">
        <f t="shared" si="52"/>
        <v>0</v>
      </c>
      <c r="L288" s="148">
        <f t="shared" si="52"/>
        <v>1</v>
      </c>
      <c r="M288" s="148">
        <f t="shared" si="52"/>
        <v>0.99999999999999989</v>
      </c>
      <c r="N288" s="148">
        <f t="shared" si="52"/>
        <v>0.99999999999999989</v>
      </c>
      <c r="O288" s="148">
        <f t="shared" si="52"/>
        <v>0.99999999999999989</v>
      </c>
      <c r="P288" s="161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</row>
    <row r="289" spans="1:39" ht="12.75" customHeight="1" x14ac:dyDescent="0.2">
      <c r="A289" s="95"/>
      <c r="B289" s="142" t="s">
        <v>290</v>
      </c>
      <c r="C289" s="13" t="s">
        <v>9</v>
      </c>
      <c r="D289" s="143"/>
      <c r="E289" s="143"/>
      <c r="F289" s="143"/>
      <c r="G289" s="143"/>
      <c r="H289" s="144"/>
      <c r="I289" s="144"/>
      <c r="J289" s="144"/>
      <c r="K289" s="144"/>
      <c r="L289" s="123"/>
      <c r="M289" s="123"/>
      <c r="N289" s="123"/>
      <c r="O289" s="140"/>
      <c r="P289" s="161"/>
      <c r="Q289" s="95">
        <v>11601</v>
      </c>
      <c r="R289" s="95">
        <f>Q289*1.095</f>
        <v>12703.094999999999</v>
      </c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  <c r="AL289" s="95"/>
      <c r="AM289" s="95"/>
    </row>
    <row r="290" spans="1:39" ht="12.75" customHeight="1" x14ac:dyDescent="0.2">
      <c r="A290" s="95"/>
      <c r="B290" s="19" t="s">
        <v>272</v>
      </c>
      <c r="C290" s="20" t="s">
        <v>11</v>
      </c>
      <c r="D290" s="143"/>
      <c r="E290" s="143"/>
      <c r="F290" s="143"/>
      <c r="G290" s="143"/>
      <c r="H290" s="144"/>
      <c r="I290" s="144">
        <v>1</v>
      </c>
      <c r="J290" s="144">
        <v>1</v>
      </c>
      <c r="K290" s="144">
        <v>1</v>
      </c>
      <c r="L290" s="123"/>
      <c r="M290" s="123"/>
      <c r="N290" s="123"/>
      <c r="O290" s="140"/>
      <c r="P290" s="161"/>
      <c r="Q290" s="95"/>
      <c r="R290" s="95"/>
      <c r="S290" s="95" t="s">
        <v>291</v>
      </c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  <c r="AL290" s="95"/>
      <c r="AM290" s="95"/>
    </row>
    <row r="291" spans="1:39" ht="12.75" customHeight="1" x14ac:dyDescent="0.2">
      <c r="A291" s="95"/>
      <c r="B291" s="122"/>
      <c r="C291" s="20" t="s">
        <v>12</v>
      </c>
      <c r="D291" s="143"/>
      <c r="E291" s="143"/>
      <c r="F291" s="143"/>
      <c r="G291" s="143"/>
      <c r="H291" s="144"/>
      <c r="I291" s="144"/>
      <c r="J291" s="144"/>
      <c r="K291" s="144"/>
      <c r="L291" s="123"/>
      <c r="M291" s="123"/>
      <c r="N291" s="123"/>
      <c r="O291" s="140"/>
      <c r="P291" s="161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  <c r="AL291" s="95"/>
      <c r="AM291" s="95"/>
    </row>
    <row r="292" spans="1:39" ht="12.75" customHeight="1" x14ac:dyDescent="0.2">
      <c r="A292" s="95"/>
      <c r="B292" s="122"/>
      <c r="C292" s="20" t="s">
        <v>13</v>
      </c>
      <c r="D292" s="143"/>
      <c r="E292" s="143"/>
      <c r="F292" s="143"/>
      <c r="G292" s="143"/>
      <c r="H292" s="144"/>
      <c r="I292" s="144"/>
      <c r="J292" s="144"/>
      <c r="K292" s="144"/>
      <c r="L292" s="123"/>
      <c r="M292" s="123"/>
      <c r="N292" s="123"/>
      <c r="O292" s="140"/>
      <c r="P292" s="161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</row>
    <row r="293" spans="1:39" ht="12.75" customHeight="1" x14ac:dyDescent="0.2">
      <c r="A293" s="95"/>
      <c r="B293" s="122"/>
      <c r="C293" s="20" t="s">
        <v>14</v>
      </c>
      <c r="D293" s="143"/>
      <c r="E293" s="143"/>
      <c r="F293" s="143"/>
      <c r="G293" s="143"/>
      <c r="H293" s="144"/>
      <c r="I293" s="144"/>
      <c r="J293" s="144"/>
      <c r="K293" s="144"/>
      <c r="L293" s="123"/>
      <c r="M293" s="123"/>
      <c r="N293" s="123"/>
      <c r="O293" s="140"/>
      <c r="P293" s="161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  <c r="AL293" s="95"/>
      <c r="AM293" s="95"/>
    </row>
    <row r="294" spans="1:39" ht="12.75" customHeight="1" x14ac:dyDescent="0.2">
      <c r="A294" s="95"/>
      <c r="B294" s="122"/>
      <c r="C294" s="20" t="s">
        <v>15</v>
      </c>
      <c r="D294" s="143"/>
      <c r="E294" s="143"/>
      <c r="F294" s="143"/>
      <c r="G294" s="143"/>
      <c r="H294" s="144"/>
      <c r="I294" s="144"/>
      <c r="J294" s="144"/>
      <c r="K294" s="144"/>
      <c r="L294" s="123"/>
      <c r="M294" s="123"/>
      <c r="N294" s="123"/>
      <c r="O294" s="140"/>
      <c r="P294" s="161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  <c r="AL294" s="95"/>
      <c r="AM294" s="95"/>
    </row>
    <row r="295" spans="1:39" ht="12.75" customHeight="1" x14ac:dyDescent="0.2">
      <c r="A295" s="95"/>
      <c r="B295" s="122"/>
      <c r="C295" s="20" t="s">
        <v>16</v>
      </c>
      <c r="D295" s="143"/>
      <c r="E295" s="143"/>
      <c r="F295" s="143"/>
      <c r="G295" s="143"/>
      <c r="H295" s="144"/>
      <c r="I295" s="144"/>
      <c r="J295" s="144"/>
      <c r="K295" s="144"/>
      <c r="L295" s="123"/>
      <c r="M295" s="123"/>
      <c r="N295" s="123"/>
      <c r="O295" s="140"/>
      <c r="P295" s="161"/>
      <c r="Q295" s="95"/>
      <c r="R295" s="95">
        <f>SUM(D289:O295)/12</f>
        <v>0.25</v>
      </c>
      <c r="S295" s="95">
        <f>R295*R289</f>
        <v>3175.7737499999998</v>
      </c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  <c r="AL295" s="95"/>
      <c r="AM295" s="95"/>
    </row>
    <row r="296" spans="1:39" ht="12.75" customHeight="1" x14ac:dyDescent="0.2">
      <c r="A296" s="95"/>
      <c r="B296" s="126"/>
      <c r="C296" s="28" t="s">
        <v>17</v>
      </c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8"/>
      <c r="P296" s="161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  <c r="AL296" s="95"/>
      <c r="AM296" s="95"/>
    </row>
    <row r="297" spans="1:39" ht="12.75" customHeight="1" x14ac:dyDescent="0.2">
      <c r="A297" s="95"/>
      <c r="B297" s="146" t="str">
        <f>B289</f>
        <v>Emma Styles</v>
      </c>
      <c r="C297" s="147" t="s">
        <v>241</v>
      </c>
      <c r="D297" s="148">
        <f t="shared" ref="D297:O297" si="53">SUM(D289:D296)</f>
        <v>0</v>
      </c>
      <c r="E297" s="148">
        <f t="shared" si="53"/>
        <v>0</v>
      </c>
      <c r="F297" s="148">
        <f t="shared" si="53"/>
        <v>0</v>
      </c>
      <c r="G297" s="148">
        <f t="shared" si="53"/>
        <v>0</v>
      </c>
      <c r="H297" s="148">
        <f t="shared" si="53"/>
        <v>0</v>
      </c>
      <c r="I297" s="148">
        <f t="shared" si="53"/>
        <v>1</v>
      </c>
      <c r="J297" s="148">
        <f t="shared" si="53"/>
        <v>1</v>
      </c>
      <c r="K297" s="148">
        <f t="shared" si="53"/>
        <v>1</v>
      </c>
      <c r="L297" s="148">
        <f t="shared" si="53"/>
        <v>0</v>
      </c>
      <c r="M297" s="148">
        <f t="shared" si="53"/>
        <v>0</v>
      </c>
      <c r="N297" s="148">
        <f t="shared" si="53"/>
        <v>0</v>
      </c>
      <c r="O297" s="148">
        <f t="shared" si="53"/>
        <v>0</v>
      </c>
      <c r="P297" s="161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  <c r="AL297" s="95"/>
      <c r="AM297" s="95"/>
    </row>
    <row r="298" spans="1:39" ht="12.75" customHeight="1" x14ac:dyDescent="0.2">
      <c r="A298" s="95"/>
      <c r="B298" s="111" t="s">
        <v>292</v>
      </c>
      <c r="C298" s="36" t="s">
        <v>9</v>
      </c>
      <c r="D298" s="166"/>
      <c r="E298" s="166"/>
      <c r="F298" s="166"/>
      <c r="G298" s="166"/>
      <c r="H298" s="167"/>
      <c r="I298" s="167"/>
      <c r="J298" s="167"/>
      <c r="K298" s="167"/>
      <c r="L298" s="151"/>
      <c r="M298" s="151"/>
      <c r="N298" s="112"/>
      <c r="O298" s="139"/>
      <c r="P298" s="116" t="e">
        <f t="shared" ref="P298:P304" si="54">AVERAGE(D298:O298)</f>
        <v>#DIV/0!</v>
      </c>
      <c r="Q298" s="95"/>
      <c r="R298" s="95">
        <v>8073</v>
      </c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  <c r="AL298" s="95"/>
      <c r="AM298" s="95"/>
    </row>
    <row r="299" spans="1:39" ht="12.75" customHeight="1" x14ac:dyDescent="0.2">
      <c r="A299" s="95"/>
      <c r="B299" s="19" t="s">
        <v>293</v>
      </c>
      <c r="C299" s="20" t="s">
        <v>11</v>
      </c>
      <c r="D299" s="157"/>
      <c r="E299" s="157"/>
      <c r="F299" s="157"/>
      <c r="G299" s="157"/>
      <c r="H299" s="169"/>
      <c r="I299" s="169"/>
      <c r="J299" s="169"/>
      <c r="K299" s="169"/>
      <c r="L299" s="153"/>
      <c r="M299" s="153"/>
      <c r="N299" s="123"/>
      <c r="O299" s="140"/>
      <c r="P299" s="121" t="e">
        <f t="shared" si="54"/>
        <v>#DIV/0!</v>
      </c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  <c r="AL299" s="95"/>
      <c r="AM299" s="95"/>
    </row>
    <row r="300" spans="1:39" ht="12.75" customHeight="1" x14ac:dyDescent="0.2">
      <c r="A300" s="95"/>
      <c r="B300" s="122"/>
      <c r="C300" s="20" t="s">
        <v>12</v>
      </c>
      <c r="D300" s="157"/>
      <c r="E300" s="157"/>
      <c r="F300" s="157"/>
      <c r="G300" s="157"/>
      <c r="H300" s="169"/>
      <c r="I300" s="169"/>
      <c r="J300" s="169"/>
      <c r="K300" s="169"/>
      <c r="L300" s="153"/>
      <c r="M300" s="153"/>
      <c r="N300" s="123"/>
      <c r="O300" s="140"/>
      <c r="P300" s="121" t="e">
        <f t="shared" si="54"/>
        <v>#DIV/0!</v>
      </c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  <c r="AL300" s="95"/>
      <c r="AM300" s="95"/>
    </row>
    <row r="301" spans="1:39" ht="12.75" customHeight="1" x14ac:dyDescent="0.2">
      <c r="A301" s="95"/>
      <c r="B301" s="122"/>
      <c r="C301" s="20" t="s">
        <v>13</v>
      </c>
      <c r="D301" s="157"/>
      <c r="E301" s="157"/>
      <c r="F301" s="157"/>
      <c r="G301" s="157"/>
      <c r="H301" s="169"/>
      <c r="I301" s="169"/>
      <c r="J301" s="169"/>
      <c r="K301" s="169"/>
      <c r="L301" s="153"/>
      <c r="M301" s="153"/>
      <c r="N301" s="123"/>
      <c r="O301" s="140"/>
      <c r="P301" s="121" t="e">
        <f t="shared" si="54"/>
        <v>#DIV/0!</v>
      </c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  <c r="AL301" s="95"/>
      <c r="AM301" s="95"/>
    </row>
    <row r="302" spans="1:39" ht="12.75" customHeight="1" x14ac:dyDescent="0.2">
      <c r="A302" s="95"/>
      <c r="B302" s="122"/>
      <c r="C302" s="20" t="s">
        <v>14</v>
      </c>
      <c r="D302" s="157"/>
      <c r="E302" s="157"/>
      <c r="F302" s="157"/>
      <c r="G302" s="157"/>
      <c r="H302" s="169"/>
      <c r="I302" s="169"/>
      <c r="J302" s="169"/>
      <c r="K302" s="169"/>
      <c r="L302" s="153"/>
      <c r="M302" s="153"/>
      <c r="N302" s="123"/>
      <c r="O302" s="140"/>
      <c r="P302" s="121" t="e">
        <f t="shared" si="54"/>
        <v>#DIV/0!</v>
      </c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  <c r="AL302" s="95"/>
      <c r="AM302" s="95"/>
    </row>
    <row r="303" spans="1:39" ht="12.75" customHeight="1" x14ac:dyDescent="0.2">
      <c r="A303" s="95"/>
      <c r="B303" s="122"/>
      <c r="C303" s="20" t="s">
        <v>15</v>
      </c>
      <c r="D303" s="157"/>
      <c r="E303" s="157"/>
      <c r="F303" s="157"/>
      <c r="G303" s="157"/>
      <c r="H303" s="169"/>
      <c r="I303" s="169"/>
      <c r="J303" s="169"/>
      <c r="K303" s="169"/>
      <c r="L303" s="153"/>
      <c r="M303" s="153"/>
      <c r="N303" s="123"/>
      <c r="O303" s="140"/>
      <c r="P303" s="121" t="e">
        <f t="shared" si="54"/>
        <v>#DIV/0!</v>
      </c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  <c r="AL303" s="95"/>
      <c r="AM303" s="95"/>
    </row>
    <row r="304" spans="1:39" ht="12.75" customHeight="1" x14ac:dyDescent="0.2">
      <c r="A304" s="95"/>
      <c r="B304" s="122"/>
      <c r="C304" s="20" t="s">
        <v>16</v>
      </c>
      <c r="D304" s="157"/>
      <c r="E304" s="157"/>
      <c r="F304" s="157"/>
      <c r="G304" s="157"/>
      <c r="H304" s="169"/>
      <c r="I304" s="169"/>
      <c r="J304" s="169"/>
      <c r="K304" s="169"/>
      <c r="L304" s="153"/>
      <c r="M304" s="153"/>
      <c r="N304" s="123"/>
      <c r="O304" s="140"/>
      <c r="P304" s="121" t="e">
        <f t="shared" si="54"/>
        <v>#DIV/0!</v>
      </c>
      <c r="Q304" s="95"/>
      <c r="R304" s="95">
        <f>SUM(D298:O304)/12</f>
        <v>0</v>
      </c>
      <c r="S304" s="95">
        <f>R304*R298</f>
        <v>0</v>
      </c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  <c r="AL304" s="95"/>
      <c r="AM304" s="95"/>
    </row>
    <row r="305" spans="1:39" ht="12.75" customHeight="1" x14ac:dyDescent="0.2">
      <c r="A305" s="125"/>
      <c r="B305" s="126"/>
      <c r="C305" s="28" t="s">
        <v>17</v>
      </c>
      <c r="D305" s="127">
        <v>0</v>
      </c>
      <c r="E305" s="127">
        <v>0</v>
      </c>
      <c r="F305" s="127">
        <v>0</v>
      </c>
      <c r="G305" s="127">
        <v>0</v>
      </c>
      <c r="H305" s="127">
        <v>0</v>
      </c>
      <c r="I305" s="127">
        <v>0</v>
      </c>
      <c r="J305" s="127">
        <v>1</v>
      </c>
      <c r="K305" s="127">
        <v>0</v>
      </c>
      <c r="L305" s="127">
        <v>0</v>
      </c>
      <c r="M305" s="127">
        <v>0</v>
      </c>
      <c r="N305" s="127">
        <v>1</v>
      </c>
      <c r="O305" s="127">
        <v>1</v>
      </c>
      <c r="P305" s="129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  <c r="AL305" s="95"/>
      <c r="AM305" s="95"/>
    </row>
    <row r="306" spans="1:39" ht="12.75" customHeight="1" x14ac:dyDescent="0.2">
      <c r="A306" s="95"/>
      <c r="B306" s="141" t="str">
        <f>B298</f>
        <v>June Huang</v>
      </c>
      <c r="C306" s="131" t="s">
        <v>241</v>
      </c>
      <c r="D306" s="132">
        <f t="shared" ref="D306:O306" si="55">SUM(D298:D305)</f>
        <v>0</v>
      </c>
      <c r="E306" s="132">
        <f t="shared" si="55"/>
        <v>0</v>
      </c>
      <c r="F306" s="132">
        <f t="shared" si="55"/>
        <v>0</v>
      </c>
      <c r="G306" s="132">
        <f t="shared" si="55"/>
        <v>0</v>
      </c>
      <c r="H306" s="132">
        <f t="shared" si="55"/>
        <v>0</v>
      </c>
      <c r="I306" s="132">
        <f t="shared" si="55"/>
        <v>0</v>
      </c>
      <c r="J306" s="132">
        <f t="shared" si="55"/>
        <v>1</v>
      </c>
      <c r="K306" s="132">
        <f t="shared" si="55"/>
        <v>0</v>
      </c>
      <c r="L306" s="132">
        <f t="shared" si="55"/>
        <v>0</v>
      </c>
      <c r="M306" s="132">
        <f t="shared" si="55"/>
        <v>0</v>
      </c>
      <c r="N306" s="132">
        <f t="shared" si="55"/>
        <v>1</v>
      </c>
      <c r="O306" s="132">
        <f t="shared" si="55"/>
        <v>1</v>
      </c>
      <c r="P306" s="155">
        <f t="shared" ref="P306:P313" si="56">AVERAGE(D306:O306)</f>
        <v>0.25</v>
      </c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  <c r="AL306" s="95"/>
      <c r="AM306" s="95"/>
    </row>
    <row r="307" spans="1:39" ht="12.75" customHeight="1" x14ac:dyDescent="0.2">
      <c r="A307" s="95"/>
      <c r="B307" s="111" t="s">
        <v>294</v>
      </c>
      <c r="C307" s="36" t="s">
        <v>9</v>
      </c>
      <c r="D307" s="166"/>
      <c r="E307" s="166"/>
      <c r="F307" s="166"/>
      <c r="G307" s="166"/>
      <c r="H307" s="166"/>
      <c r="I307" s="166"/>
      <c r="J307" s="166"/>
      <c r="K307" s="166"/>
      <c r="L307" s="149"/>
      <c r="M307" s="149"/>
      <c r="N307" s="149"/>
      <c r="O307" s="184"/>
      <c r="P307" s="116" t="e">
        <f t="shared" si="56"/>
        <v>#DIV/0!</v>
      </c>
      <c r="Q307" s="95"/>
      <c r="R307" s="95">
        <v>26592</v>
      </c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  <c r="AL307" s="95"/>
      <c r="AM307" s="95"/>
    </row>
    <row r="308" spans="1:39" ht="12.75" customHeight="1" x14ac:dyDescent="0.2">
      <c r="A308" s="95"/>
      <c r="B308" s="19"/>
      <c r="C308" s="20" t="s">
        <v>11</v>
      </c>
      <c r="D308" s="157"/>
      <c r="E308" s="157"/>
      <c r="F308" s="157"/>
      <c r="G308" s="157"/>
      <c r="H308" s="157"/>
      <c r="I308" s="157"/>
      <c r="J308" s="157"/>
      <c r="K308" s="157"/>
      <c r="L308" s="143"/>
      <c r="M308" s="143"/>
      <c r="N308" s="143"/>
      <c r="O308" s="159"/>
      <c r="P308" s="121" t="e">
        <f t="shared" si="56"/>
        <v>#DIV/0!</v>
      </c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  <c r="AL308" s="95"/>
      <c r="AM308" s="95"/>
    </row>
    <row r="309" spans="1:39" ht="12.75" customHeight="1" x14ac:dyDescent="0.2">
      <c r="A309" s="95"/>
      <c r="B309" s="122"/>
      <c r="C309" s="20" t="s">
        <v>12</v>
      </c>
      <c r="D309" s="157"/>
      <c r="E309" s="157"/>
      <c r="F309" s="157"/>
      <c r="G309" s="157"/>
      <c r="H309" s="157"/>
      <c r="I309" s="157"/>
      <c r="J309" s="157"/>
      <c r="K309" s="157"/>
      <c r="L309" s="143"/>
      <c r="M309" s="143"/>
      <c r="N309" s="143"/>
      <c r="O309" s="159"/>
      <c r="P309" s="121" t="e">
        <f t="shared" si="56"/>
        <v>#DIV/0!</v>
      </c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  <c r="AL309" s="95"/>
      <c r="AM309" s="95"/>
    </row>
    <row r="310" spans="1:39" ht="12.75" customHeight="1" x14ac:dyDescent="0.2">
      <c r="A310" s="95"/>
      <c r="B310" s="122"/>
      <c r="C310" s="20" t="s">
        <v>13</v>
      </c>
      <c r="D310" s="157"/>
      <c r="E310" s="157"/>
      <c r="F310" s="157"/>
      <c r="G310" s="157"/>
      <c r="H310" s="157"/>
      <c r="I310" s="157"/>
      <c r="J310" s="157"/>
      <c r="K310" s="157"/>
      <c r="L310" s="143"/>
      <c r="M310" s="143"/>
      <c r="N310" s="143"/>
      <c r="O310" s="159"/>
      <c r="P310" s="121" t="e">
        <f t="shared" si="56"/>
        <v>#DIV/0!</v>
      </c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  <c r="AL310" s="95"/>
      <c r="AM310" s="95"/>
    </row>
    <row r="311" spans="1:39" ht="12.75" customHeight="1" x14ac:dyDescent="0.2">
      <c r="A311" s="95"/>
      <c r="B311" s="122"/>
      <c r="C311" s="20" t="s">
        <v>14</v>
      </c>
      <c r="D311" s="157"/>
      <c r="E311" s="157"/>
      <c r="F311" s="157"/>
      <c r="G311" s="157"/>
      <c r="H311" s="157"/>
      <c r="I311" s="157"/>
      <c r="J311" s="157"/>
      <c r="K311" s="157"/>
      <c r="L311" s="143"/>
      <c r="M311" s="143"/>
      <c r="N311" s="143"/>
      <c r="O311" s="159"/>
      <c r="P311" s="121" t="e">
        <f t="shared" si="56"/>
        <v>#DIV/0!</v>
      </c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  <c r="AL311" s="95"/>
      <c r="AM311" s="95"/>
    </row>
    <row r="312" spans="1:39" ht="12.75" customHeight="1" x14ac:dyDescent="0.2">
      <c r="A312" s="95"/>
      <c r="B312" s="122"/>
      <c r="C312" s="20" t="s">
        <v>15</v>
      </c>
      <c r="D312" s="157"/>
      <c r="E312" s="157"/>
      <c r="F312" s="157"/>
      <c r="G312" s="157"/>
      <c r="H312" s="157"/>
      <c r="I312" s="157"/>
      <c r="J312" s="157"/>
      <c r="K312" s="157"/>
      <c r="L312" s="143"/>
      <c r="M312" s="143"/>
      <c r="N312" s="143"/>
      <c r="O312" s="159"/>
      <c r="P312" s="121" t="e">
        <f t="shared" si="56"/>
        <v>#DIV/0!</v>
      </c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  <c r="AL312" s="95"/>
      <c r="AM312" s="95"/>
    </row>
    <row r="313" spans="1:39" ht="12.75" customHeight="1" x14ac:dyDescent="0.2">
      <c r="A313" s="95"/>
      <c r="B313" s="122"/>
      <c r="C313" s="20" t="s">
        <v>16</v>
      </c>
      <c r="D313" s="157"/>
      <c r="E313" s="157"/>
      <c r="F313" s="157"/>
      <c r="G313" s="157"/>
      <c r="H313" s="157"/>
      <c r="I313" s="157"/>
      <c r="J313" s="157"/>
      <c r="K313" s="157"/>
      <c r="L313" s="143"/>
      <c r="M313" s="143"/>
      <c r="N313" s="143"/>
      <c r="O313" s="159"/>
      <c r="P313" s="121" t="e">
        <f t="shared" si="56"/>
        <v>#DIV/0!</v>
      </c>
      <c r="Q313" s="95"/>
      <c r="R313" s="95">
        <f>SUM(D307:O313)/12</f>
        <v>0</v>
      </c>
      <c r="S313" s="95">
        <f>R313*R307</f>
        <v>0</v>
      </c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  <c r="AL313" s="95"/>
      <c r="AM313" s="95"/>
    </row>
    <row r="314" spans="1:39" ht="12.75" customHeight="1" x14ac:dyDescent="0.2">
      <c r="A314" s="125"/>
      <c r="B314" s="126"/>
      <c r="C314" s="28" t="s">
        <v>17</v>
      </c>
      <c r="D314" s="127">
        <v>0</v>
      </c>
      <c r="E314" s="127">
        <v>0</v>
      </c>
      <c r="F314" s="127">
        <v>0</v>
      </c>
      <c r="G314" s="127">
        <v>0</v>
      </c>
      <c r="H314" s="127">
        <v>0</v>
      </c>
      <c r="I314" s="127">
        <v>0</v>
      </c>
      <c r="J314" s="127">
        <v>0</v>
      </c>
      <c r="K314" s="127">
        <v>0</v>
      </c>
      <c r="L314" s="127">
        <v>1</v>
      </c>
      <c r="M314" s="127">
        <v>1</v>
      </c>
      <c r="N314" s="127">
        <v>1</v>
      </c>
      <c r="O314" s="127">
        <v>1</v>
      </c>
      <c r="P314" s="129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  <c r="AL314" s="95"/>
      <c r="AM314" s="95"/>
    </row>
    <row r="315" spans="1:39" ht="12.75" customHeight="1" x14ac:dyDescent="0.2">
      <c r="A315" s="95"/>
      <c r="B315" s="138" t="str">
        <f>B307</f>
        <v>Rakesh Kumar</v>
      </c>
      <c r="C315" s="131" t="s">
        <v>241</v>
      </c>
      <c r="D315" s="132">
        <f t="shared" ref="D315:O315" si="57">SUM(D307:D314)</f>
        <v>0</v>
      </c>
      <c r="E315" s="132">
        <f t="shared" si="57"/>
        <v>0</v>
      </c>
      <c r="F315" s="132">
        <f t="shared" si="57"/>
        <v>0</v>
      </c>
      <c r="G315" s="132">
        <f t="shared" si="57"/>
        <v>0</v>
      </c>
      <c r="H315" s="132">
        <f t="shared" si="57"/>
        <v>0</v>
      </c>
      <c r="I315" s="132">
        <f t="shared" si="57"/>
        <v>0</v>
      </c>
      <c r="J315" s="132">
        <f t="shared" si="57"/>
        <v>0</v>
      </c>
      <c r="K315" s="132">
        <f t="shared" si="57"/>
        <v>0</v>
      </c>
      <c r="L315" s="132">
        <f t="shared" si="57"/>
        <v>1</v>
      </c>
      <c r="M315" s="132">
        <f t="shared" si="57"/>
        <v>1</v>
      </c>
      <c r="N315" s="132">
        <f t="shared" si="57"/>
        <v>1</v>
      </c>
      <c r="O315" s="132">
        <f t="shared" si="57"/>
        <v>1</v>
      </c>
      <c r="P315" s="185">
        <f>SUM(D315:O315)/12</f>
        <v>0.33333333333333331</v>
      </c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  <c r="AL315" s="95"/>
      <c r="AM315" s="95"/>
    </row>
    <row r="316" spans="1:39" ht="12.75" customHeight="1" x14ac:dyDescent="0.2">
      <c r="A316" s="95"/>
      <c r="B316" s="95"/>
      <c r="C316" s="4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 t="s">
        <v>241</v>
      </c>
      <c r="R316" s="95">
        <f>R10+R19+R28+R37+R46+R55+R64+R73+R82+R91+R100+R109+R118+R127+R136+R145+R154+R164+R172+R181+R190+R199+R208+R217+R226+R235+R244+R253+R262+R271+R280+R289+R298+R307</f>
        <v>1919153.9190499999</v>
      </c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  <c r="AL316" s="95"/>
      <c r="AM316" s="95"/>
    </row>
    <row r="317" spans="1:39" ht="12.75" customHeight="1" x14ac:dyDescent="0.2">
      <c r="A317" s="95"/>
      <c r="B317" s="243" t="s">
        <v>295</v>
      </c>
      <c r="C317" s="237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 t="s">
        <v>296</v>
      </c>
      <c r="R317" s="95"/>
      <c r="S317" s="95">
        <f>SUM(S8:S316)</f>
        <v>1271607.7260643456</v>
      </c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  <c r="AL317" s="95"/>
      <c r="AM317" s="95"/>
    </row>
    <row r="318" spans="1:39" ht="12.75" customHeight="1" x14ac:dyDescent="0.2">
      <c r="A318" s="95"/>
      <c r="B318" s="240" t="s">
        <v>297</v>
      </c>
      <c r="C318" s="237"/>
      <c r="D318" s="95"/>
      <c r="E318" s="186" t="s">
        <v>298</v>
      </c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  <c r="AL318" s="95"/>
      <c r="AM318" s="95"/>
    </row>
    <row r="319" spans="1:39" ht="12.75" customHeight="1" x14ac:dyDescent="0.2">
      <c r="A319" s="95"/>
      <c r="B319" s="236" t="s">
        <v>299</v>
      </c>
      <c r="C319" s="237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  <c r="AL319" s="95"/>
      <c r="AM319" s="95"/>
    </row>
    <row r="320" spans="1:39" ht="12.75" customHeight="1" x14ac:dyDescent="0.2">
      <c r="A320" s="95"/>
      <c r="B320" s="240" t="s">
        <v>11</v>
      </c>
      <c r="C320" s="237"/>
      <c r="D320" s="95"/>
      <c r="E320" s="95" t="s">
        <v>300</v>
      </c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  <c r="AL320" s="95"/>
      <c r="AM320" s="95"/>
    </row>
    <row r="321" spans="1:39" ht="12.75" customHeight="1" x14ac:dyDescent="0.2">
      <c r="A321" s="95"/>
      <c r="B321" s="236" t="s">
        <v>301</v>
      </c>
      <c r="C321" s="237"/>
      <c r="D321" s="95"/>
      <c r="E321" s="95" t="s">
        <v>302</v>
      </c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  <c r="AL321" s="95"/>
      <c r="AM321" s="95"/>
    </row>
    <row r="322" spans="1:39" ht="12.75" customHeight="1" x14ac:dyDescent="0.2">
      <c r="A322" s="95"/>
      <c r="B322" s="236" t="s">
        <v>303</v>
      </c>
      <c r="C322" s="237"/>
      <c r="D322" s="95"/>
      <c r="E322" s="95" t="s">
        <v>304</v>
      </c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  <c r="AL322" s="95"/>
      <c r="AM322" s="95"/>
    </row>
    <row r="323" spans="1:39" ht="12.75" customHeight="1" x14ac:dyDescent="0.2">
      <c r="A323" s="95"/>
      <c r="B323" s="236" t="s">
        <v>305</v>
      </c>
      <c r="C323" s="237"/>
      <c r="D323" s="95"/>
      <c r="E323" s="95" t="s">
        <v>306</v>
      </c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  <c r="AL323" s="95"/>
      <c r="AM323" s="95"/>
    </row>
    <row r="324" spans="1:39" ht="12.75" customHeight="1" x14ac:dyDescent="0.2">
      <c r="A324" s="95"/>
      <c r="B324" s="240" t="s">
        <v>12</v>
      </c>
      <c r="C324" s="237"/>
      <c r="D324" s="95"/>
      <c r="E324" s="95" t="s">
        <v>307</v>
      </c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  <c r="AL324" s="95"/>
      <c r="AM324" s="95"/>
    </row>
    <row r="325" spans="1:39" ht="12.75" customHeight="1" x14ac:dyDescent="0.2">
      <c r="A325" s="95"/>
      <c r="B325" s="236" t="s">
        <v>308</v>
      </c>
      <c r="C325" s="237"/>
      <c r="D325" s="95"/>
      <c r="E325" s="95" t="s">
        <v>309</v>
      </c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  <c r="AL325" s="95"/>
      <c r="AM325" s="95"/>
    </row>
    <row r="326" spans="1:39" ht="12.75" customHeight="1" x14ac:dyDescent="0.2">
      <c r="A326" s="95"/>
      <c r="B326" s="236" t="s">
        <v>310</v>
      </c>
      <c r="C326" s="237"/>
      <c r="D326" s="95"/>
      <c r="E326" s="95" t="s">
        <v>311</v>
      </c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  <c r="AL326" s="95"/>
      <c r="AM326" s="95"/>
    </row>
    <row r="327" spans="1:39" ht="12.75" customHeight="1" x14ac:dyDescent="0.2">
      <c r="A327" s="95"/>
      <c r="B327" s="240" t="s">
        <v>13</v>
      </c>
      <c r="C327" s="237"/>
      <c r="D327" s="95"/>
      <c r="E327" s="95" t="s">
        <v>312</v>
      </c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  <c r="AL327" s="95"/>
      <c r="AM327" s="95"/>
    </row>
    <row r="328" spans="1:39" ht="12.75" customHeight="1" x14ac:dyDescent="0.2">
      <c r="A328" s="95"/>
      <c r="B328" s="236" t="s">
        <v>313</v>
      </c>
      <c r="C328" s="237"/>
      <c r="D328" s="95"/>
      <c r="E328" s="95" t="s">
        <v>314</v>
      </c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  <c r="AL328" s="95"/>
      <c r="AM328" s="95"/>
    </row>
    <row r="329" spans="1:39" ht="12.75" customHeight="1" x14ac:dyDescent="0.2">
      <c r="A329" s="95"/>
      <c r="B329" s="236" t="s">
        <v>315</v>
      </c>
      <c r="C329" s="237"/>
      <c r="D329" s="95"/>
      <c r="E329" s="95" t="s">
        <v>316</v>
      </c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  <c r="AL329" s="95"/>
      <c r="AM329" s="95"/>
    </row>
    <row r="330" spans="1:39" ht="12.75" customHeight="1" x14ac:dyDescent="0.2">
      <c r="A330" s="95"/>
      <c r="B330" s="236" t="s">
        <v>317</v>
      </c>
      <c r="C330" s="237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  <c r="AL330" s="95"/>
      <c r="AM330" s="95"/>
    </row>
    <row r="331" spans="1:39" ht="12.75" customHeight="1" x14ac:dyDescent="0.2">
      <c r="A331" s="95"/>
      <c r="B331" s="240" t="s">
        <v>14</v>
      </c>
      <c r="C331" s="237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  <c r="AL331" s="95"/>
      <c r="AM331" s="95"/>
    </row>
    <row r="332" spans="1:39" ht="12.75" customHeight="1" x14ac:dyDescent="0.2">
      <c r="A332" s="95"/>
      <c r="B332" s="236" t="s">
        <v>318</v>
      </c>
      <c r="C332" s="237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</row>
    <row r="333" spans="1:39" ht="12.75" customHeight="1" x14ac:dyDescent="0.2">
      <c r="A333" s="95"/>
      <c r="B333" s="236" t="s">
        <v>319</v>
      </c>
      <c r="C333" s="237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  <c r="AL333" s="95"/>
      <c r="AM333" s="95"/>
    </row>
    <row r="334" spans="1:39" ht="12.75" customHeight="1" x14ac:dyDescent="0.2">
      <c r="A334" s="95"/>
      <c r="B334" s="236" t="s">
        <v>320</v>
      </c>
      <c r="C334" s="237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  <c r="AL334" s="95"/>
      <c r="AM334" s="95"/>
    </row>
    <row r="335" spans="1:39" ht="12.75" customHeight="1" x14ac:dyDescent="0.2">
      <c r="A335" s="95"/>
      <c r="B335" s="236" t="s">
        <v>321</v>
      </c>
      <c r="C335" s="237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  <c r="AL335" s="95"/>
      <c r="AM335" s="95"/>
    </row>
    <row r="336" spans="1:39" ht="12.75" customHeight="1" x14ac:dyDescent="0.2">
      <c r="A336" s="95"/>
      <c r="B336" s="240" t="s">
        <v>15</v>
      </c>
      <c r="C336" s="237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  <c r="AL336" s="95"/>
      <c r="AM336" s="95"/>
    </row>
    <row r="337" spans="1:39" ht="12.75" customHeight="1" x14ac:dyDescent="0.2">
      <c r="A337" s="95"/>
      <c r="B337" s="236" t="s">
        <v>322</v>
      </c>
      <c r="C337" s="237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  <c r="AL337" s="95"/>
      <c r="AM337" s="95"/>
    </row>
    <row r="338" spans="1:39" ht="12.75" customHeight="1" x14ac:dyDescent="0.2">
      <c r="A338" s="95"/>
      <c r="B338" s="236" t="s">
        <v>323</v>
      </c>
      <c r="C338" s="237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  <c r="AL338" s="95"/>
      <c r="AM338" s="95"/>
    </row>
    <row r="339" spans="1:39" ht="12.75" hidden="1" customHeight="1" x14ac:dyDescent="0.2">
      <c r="A339" s="95"/>
      <c r="B339" s="186" t="s">
        <v>324</v>
      </c>
      <c r="C339" s="238"/>
      <c r="D339" s="239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  <c r="AL339" s="95"/>
      <c r="AM339" s="95"/>
    </row>
    <row r="340" spans="1:39" ht="12.75" hidden="1" customHeight="1" x14ac:dyDescent="0.2">
      <c r="A340" s="95"/>
      <c r="B340" s="95" t="s">
        <v>325</v>
      </c>
      <c r="C340" s="4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  <c r="AL340" s="95"/>
      <c r="AM340" s="95"/>
    </row>
    <row r="341" spans="1:39" ht="12.75" hidden="1" customHeight="1" x14ac:dyDescent="0.2">
      <c r="A341" s="95"/>
      <c r="B341" s="95" t="s">
        <v>326</v>
      </c>
      <c r="C341" s="4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  <c r="AL341" s="95"/>
      <c r="AM341" s="95"/>
    </row>
    <row r="342" spans="1:39" ht="12.75" hidden="1" customHeight="1" x14ac:dyDescent="0.2">
      <c r="A342" s="95"/>
      <c r="B342" s="95" t="s">
        <v>327</v>
      </c>
      <c r="C342" s="4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  <c r="AL342" s="95"/>
      <c r="AM342" s="95"/>
    </row>
    <row r="343" spans="1:39" ht="12.75" hidden="1" customHeight="1" x14ac:dyDescent="0.2">
      <c r="A343" s="95"/>
      <c r="B343" s="95" t="s">
        <v>328</v>
      </c>
      <c r="C343" s="4" t="s">
        <v>329</v>
      </c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  <c r="AL343" s="95"/>
      <c r="AM343" s="95"/>
    </row>
    <row r="344" spans="1:39" ht="12.75" hidden="1" customHeight="1" x14ac:dyDescent="0.2">
      <c r="A344" s="95"/>
      <c r="B344" s="186" t="s">
        <v>330</v>
      </c>
      <c r="C344" s="4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  <c r="AL344" s="95"/>
      <c r="AM344" s="95"/>
    </row>
    <row r="345" spans="1:39" ht="12.75" hidden="1" customHeight="1" x14ac:dyDescent="0.2">
      <c r="A345" s="95"/>
      <c r="B345" s="95" t="s">
        <v>331</v>
      </c>
      <c r="C345" s="4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  <c r="AL345" s="95"/>
      <c r="AM345" s="95"/>
    </row>
    <row r="346" spans="1:39" ht="12.75" hidden="1" customHeight="1" x14ac:dyDescent="0.2">
      <c r="A346" s="95"/>
      <c r="B346" s="95" t="s">
        <v>332</v>
      </c>
      <c r="C346" s="4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  <c r="AL346" s="95"/>
      <c r="AM346" s="95"/>
    </row>
    <row r="347" spans="1:39" ht="12.75" hidden="1" customHeight="1" x14ac:dyDescent="0.2">
      <c r="A347" s="95"/>
      <c r="B347" s="95" t="s">
        <v>333</v>
      </c>
      <c r="C347" s="4" t="s">
        <v>329</v>
      </c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  <c r="AL347" s="95"/>
      <c r="AM347" s="95"/>
    </row>
    <row r="348" spans="1:39" ht="12.75" hidden="1" customHeight="1" x14ac:dyDescent="0.2">
      <c r="A348" s="95"/>
      <c r="B348" s="186" t="s">
        <v>334</v>
      </c>
      <c r="C348" s="4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  <c r="AL348" s="95"/>
      <c r="AM348" s="95"/>
    </row>
    <row r="349" spans="1:39" ht="12.75" hidden="1" customHeight="1" x14ac:dyDescent="0.2">
      <c r="A349" s="95"/>
      <c r="B349" s="95" t="s">
        <v>335</v>
      </c>
      <c r="C349" s="4"/>
      <c r="D349" s="95" t="s">
        <v>336</v>
      </c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  <c r="AL349" s="95"/>
      <c r="AM349" s="95"/>
    </row>
    <row r="350" spans="1:39" ht="12.75" hidden="1" customHeight="1" x14ac:dyDescent="0.2">
      <c r="A350" s="95"/>
      <c r="B350" s="95" t="s">
        <v>337</v>
      </c>
      <c r="C350" s="4"/>
      <c r="D350" s="95" t="s">
        <v>336</v>
      </c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  <c r="AL350" s="95"/>
      <c r="AM350" s="95"/>
    </row>
    <row r="351" spans="1:39" ht="12.75" hidden="1" customHeight="1" x14ac:dyDescent="0.2">
      <c r="A351" s="95"/>
      <c r="B351" s="95" t="s">
        <v>338</v>
      </c>
      <c r="C351" s="4"/>
      <c r="D351" s="95" t="s">
        <v>336</v>
      </c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  <c r="AL351" s="95"/>
      <c r="AM351" s="95"/>
    </row>
    <row r="352" spans="1:39" ht="12.75" hidden="1" customHeight="1" x14ac:dyDescent="0.2">
      <c r="A352" s="95"/>
      <c r="B352" s="95" t="s">
        <v>339</v>
      </c>
      <c r="C352" s="4"/>
      <c r="D352" s="95" t="s">
        <v>340</v>
      </c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  <c r="AL352" s="95"/>
      <c r="AM352" s="95"/>
    </row>
    <row r="353" spans="1:39" ht="12.75" hidden="1" customHeight="1" x14ac:dyDescent="0.2">
      <c r="A353" s="95"/>
      <c r="B353" s="95" t="s">
        <v>341</v>
      </c>
      <c r="C353" s="4" t="s">
        <v>329</v>
      </c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  <c r="AL353" s="95"/>
      <c r="AM353" s="95"/>
    </row>
    <row r="354" spans="1:39" ht="12.75" hidden="1" customHeight="1" x14ac:dyDescent="0.2">
      <c r="A354" s="95"/>
      <c r="B354" s="186" t="s">
        <v>342</v>
      </c>
      <c r="C354" s="4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  <c r="AL354" s="95"/>
      <c r="AM354" s="95"/>
    </row>
    <row r="355" spans="1:39" ht="12.75" hidden="1" customHeight="1" x14ac:dyDescent="0.2">
      <c r="A355" s="95"/>
      <c r="B355" s="95" t="s">
        <v>343</v>
      </c>
      <c r="C355" s="4" t="s">
        <v>329</v>
      </c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  <c r="AL355" s="95"/>
      <c r="AM355" s="95"/>
    </row>
    <row r="356" spans="1:39" ht="12.75" hidden="1" customHeight="1" x14ac:dyDescent="0.2">
      <c r="A356" s="95"/>
      <c r="B356" s="95" t="s">
        <v>344</v>
      </c>
      <c r="C356" s="4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  <c r="AL356" s="95"/>
      <c r="AM356" s="95"/>
    </row>
    <row r="357" spans="1:39" ht="12.75" customHeight="1" x14ac:dyDescent="0.2">
      <c r="A357" s="95"/>
      <c r="B357" s="95"/>
      <c r="C357" s="4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  <c r="AL357" s="95"/>
      <c r="AM357" s="95"/>
    </row>
    <row r="358" spans="1:39" ht="12.75" customHeight="1" x14ac:dyDescent="0.2">
      <c r="A358" s="95"/>
      <c r="B358" s="95"/>
      <c r="C358" s="187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  <c r="AL358" s="95"/>
      <c r="AM358" s="95"/>
    </row>
    <row r="359" spans="1:39" ht="12.75" customHeight="1" x14ac:dyDescent="0.2">
      <c r="A359" s="95"/>
      <c r="B359" s="95"/>
      <c r="C359" s="4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  <c r="AL359" s="95"/>
      <c r="AM359" s="95"/>
    </row>
    <row r="360" spans="1:39" ht="12.75" customHeight="1" x14ac:dyDescent="0.2">
      <c r="A360" s="95"/>
      <c r="B360" s="95"/>
      <c r="C360" s="4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  <c r="AL360" s="95"/>
      <c r="AM360" s="95"/>
    </row>
    <row r="361" spans="1:39" ht="12.75" customHeight="1" x14ac:dyDescent="0.2">
      <c r="A361" s="95"/>
      <c r="B361" s="95"/>
      <c r="C361" s="4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  <c r="AL361" s="95"/>
      <c r="AM361" s="95"/>
    </row>
    <row r="362" spans="1:39" ht="12.75" customHeight="1" x14ac:dyDescent="0.2">
      <c r="A362" s="95"/>
      <c r="B362" s="95"/>
      <c r="C362" s="4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  <c r="AL362" s="95"/>
      <c r="AM362" s="95"/>
    </row>
    <row r="363" spans="1:39" ht="12.75" customHeight="1" x14ac:dyDescent="0.2">
      <c r="A363" s="95"/>
      <c r="B363" s="95"/>
      <c r="C363" s="4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  <c r="AL363" s="95"/>
      <c r="AM363" s="95"/>
    </row>
    <row r="364" spans="1:39" ht="12.75" customHeight="1" x14ac:dyDescent="0.2">
      <c r="A364" s="95"/>
      <c r="B364" s="95"/>
      <c r="C364" s="4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  <c r="AL364" s="95"/>
      <c r="AM364" s="95"/>
    </row>
    <row r="365" spans="1:39" ht="12.75" customHeight="1" x14ac:dyDescent="0.2">
      <c r="A365" s="95"/>
      <c r="B365" s="95"/>
      <c r="C365" s="4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  <c r="AL365" s="95"/>
      <c r="AM365" s="95"/>
    </row>
    <row r="366" spans="1:39" ht="12.75" customHeight="1" x14ac:dyDescent="0.2">
      <c r="A366" s="95"/>
      <c r="B366" s="95"/>
      <c r="C366" s="4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  <c r="AL366" s="95"/>
      <c r="AM366" s="95"/>
    </row>
    <row r="367" spans="1:39" ht="12.75" customHeight="1" x14ac:dyDescent="0.2">
      <c r="A367" s="95"/>
      <c r="B367" s="95"/>
      <c r="C367" s="4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  <c r="AL367" s="95"/>
      <c r="AM367" s="95"/>
    </row>
    <row r="368" spans="1:39" ht="12.75" customHeight="1" x14ac:dyDescent="0.2">
      <c r="A368" s="95"/>
      <c r="B368" s="95"/>
      <c r="C368" s="4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  <c r="AL368" s="95"/>
      <c r="AM368" s="95"/>
    </row>
    <row r="369" spans="1:39" ht="12.75" customHeight="1" x14ac:dyDescent="0.2">
      <c r="A369" s="95"/>
      <c r="B369" s="95"/>
      <c r="C369" s="4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  <c r="AL369" s="95"/>
      <c r="AM369" s="95"/>
    </row>
    <row r="370" spans="1:39" ht="12.75" customHeight="1" x14ac:dyDescent="0.2">
      <c r="A370" s="95"/>
      <c r="B370" s="95"/>
      <c r="C370" s="4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  <c r="AL370" s="95"/>
      <c r="AM370" s="95"/>
    </row>
    <row r="371" spans="1:39" ht="12.75" customHeight="1" x14ac:dyDescent="0.2">
      <c r="A371" s="95"/>
      <c r="B371" s="95"/>
      <c r="C371" s="4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  <c r="AL371" s="95"/>
      <c r="AM371" s="95"/>
    </row>
    <row r="372" spans="1:39" ht="12.75" customHeight="1" x14ac:dyDescent="0.2">
      <c r="A372" s="95"/>
      <c r="B372" s="95"/>
      <c r="C372" s="4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  <c r="AL372" s="95"/>
      <c r="AM372" s="95"/>
    </row>
    <row r="373" spans="1:39" ht="12.75" customHeight="1" x14ac:dyDescent="0.2">
      <c r="A373" s="95"/>
      <c r="B373" s="95"/>
      <c r="C373" s="4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  <c r="AL373" s="95"/>
      <c r="AM373" s="95"/>
    </row>
    <row r="374" spans="1:39" ht="12.75" customHeight="1" x14ac:dyDescent="0.2">
      <c r="A374" s="95"/>
      <c r="B374" s="95"/>
      <c r="C374" s="4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  <c r="AL374" s="95"/>
      <c r="AM374" s="95"/>
    </row>
    <row r="375" spans="1:39" ht="12.75" customHeight="1" x14ac:dyDescent="0.2">
      <c r="A375" s="95"/>
      <c r="B375" s="95"/>
      <c r="C375" s="4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  <c r="AL375" s="95"/>
      <c r="AM375" s="95"/>
    </row>
    <row r="376" spans="1:39" ht="12.75" customHeight="1" x14ac:dyDescent="0.2">
      <c r="A376" s="95"/>
      <c r="B376" s="95"/>
      <c r="C376" s="4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  <c r="AL376" s="95"/>
      <c r="AM376" s="95"/>
    </row>
    <row r="377" spans="1:39" ht="12.75" customHeight="1" x14ac:dyDescent="0.2">
      <c r="A377" s="95"/>
      <c r="B377" s="95"/>
      <c r="C377" s="4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  <c r="AL377" s="95"/>
      <c r="AM377" s="95"/>
    </row>
    <row r="378" spans="1:39" ht="12.75" customHeight="1" x14ac:dyDescent="0.2">
      <c r="A378" s="95"/>
      <c r="B378" s="95"/>
      <c r="C378" s="4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  <c r="AL378" s="95"/>
      <c r="AM378" s="95"/>
    </row>
    <row r="379" spans="1:39" ht="12.75" customHeight="1" x14ac:dyDescent="0.2">
      <c r="A379" s="95"/>
      <c r="B379" s="95"/>
      <c r="C379" s="4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  <c r="AL379" s="95"/>
      <c r="AM379" s="95"/>
    </row>
    <row r="380" spans="1:39" ht="12.75" customHeight="1" x14ac:dyDescent="0.2">
      <c r="A380" s="95"/>
      <c r="B380" s="95"/>
      <c r="C380" s="4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  <c r="AL380" s="95"/>
      <c r="AM380" s="95"/>
    </row>
    <row r="381" spans="1:39" ht="12.75" customHeight="1" x14ac:dyDescent="0.2">
      <c r="A381" s="95"/>
      <c r="B381" s="95"/>
      <c r="C381" s="4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  <c r="AL381" s="95"/>
      <c r="AM381" s="95"/>
    </row>
    <row r="382" spans="1:39" ht="12.75" customHeight="1" x14ac:dyDescent="0.2">
      <c r="A382" s="95"/>
      <c r="B382" s="95"/>
      <c r="C382" s="4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  <c r="AL382" s="95"/>
      <c r="AM382" s="95"/>
    </row>
    <row r="383" spans="1:39" ht="12.75" customHeight="1" x14ac:dyDescent="0.2">
      <c r="A383" s="95"/>
      <c r="B383" s="95"/>
      <c r="C383" s="4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  <c r="AL383" s="95"/>
      <c r="AM383" s="95"/>
    </row>
    <row r="384" spans="1:39" ht="12.75" customHeight="1" x14ac:dyDescent="0.2">
      <c r="A384" s="95"/>
      <c r="B384" s="95"/>
      <c r="C384" s="4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  <c r="AL384" s="95"/>
      <c r="AM384" s="95"/>
    </row>
    <row r="385" spans="1:39" ht="12.75" customHeight="1" x14ac:dyDescent="0.2">
      <c r="A385" s="95"/>
      <c r="B385" s="95"/>
      <c r="C385" s="4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  <c r="AL385" s="95"/>
      <c r="AM385" s="95"/>
    </row>
    <row r="386" spans="1:39" ht="12.75" customHeight="1" x14ac:dyDescent="0.2">
      <c r="A386" s="95"/>
      <c r="B386" s="95"/>
      <c r="C386" s="4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  <c r="AL386" s="95"/>
      <c r="AM386" s="95"/>
    </row>
    <row r="387" spans="1:39" ht="12.75" customHeight="1" x14ac:dyDescent="0.2">
      <c r="A387" s="95"/>
      <c r="B387" s="95"/>
      <c r="C387" s="4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  <c r="AL387" s="95"/>
      <c r="AM387" s="95"/>
    </row>
    <row r="388" spans="1:39" ht="12.75" customHeight="1" x14ac:dyDescent="0.2">
      <c r="A388" s="95"/>
      <c r="B388" s="95"/>
      <c r="C388" s="4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  <c r="AL388" s="95"/>
      <c r="AM388" s="95"/>
    </row>
    <row r="389" spans="1:39" ht="12.75" customHeight="1" x14ac:dyDescent="0.2">
      <c r="A389" s="95"/>
      <c r="B389" s="95"/>
      <c r="C389" s="4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  <c r="AL389" s="95"/>
      <c r="AM389" s="95"/>
    </row>
    <row r="390" spans="1:39" ht="12.75" customHeight="1" x14ac:dyDescent="0.2">
      <c r="A390" s="95"/>
      <c r="B390" s="95"/>
      <c r="C390" s="4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  <c r="AL390" s="95"/>
      <c r="AM390" s="95"/>
    </row>
    <row r="391" spans="1:39" ht="12.75" customHeight="1" x14ac:dyDescent="0.2">
      <c r="A391" s="95"/>
      <c r="B391" s="95"/>
      <c r="C391" s="4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  <c r="AL391" s="95"/>
      <c r="AM391" s="95"/>
    </row>
    <row r="392" spans="1:39" ht="12.75" customHeight="1" x14ac:dyDescent="0.2">
      <c r="A392" s="95"/>
      <c r="B392" s="95"/>
      <c r="C392" s="4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  <c r="AL392" s="95"/>
      <c r="AM392" s="95"/>
    </row>
    <row r="393" spans="1:39" ht="12.75" customHeight="1" x14ac:dyDescent="0.2">
      <c r="A393" s="95"/>
      <c r="B393" s="95"/>
      <c r="C393" s="4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  <c r="AL393" s="95"/>
      <c r="AM393" s="95"/>
    </row>
    <row r="394" spans="1:39" ht="12.75" customHeight="1" x14ac:dyDescent="0.2">
      <c r="A394" s="95"/>
      <c r="B394" s="95"/>
      <c r="C394" s="4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  <c r="AL394" s="95"/>
      <c r="AM394" s="95"/>
    </row>
    <row r="395" spans="1:39" ht="12.75" customHeight="1" x14ac:dyDescent="0.2">
      <c r="A395" s="95"/>
      <c r="B395" s="95"/>
      <c r="C395" s="4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  <c r="AL395" s="95"/>
      <c r="AM395" s="95"/>
    </row>
    <row r="396" spans="1:39" ht="12.75" customHeight="1" x14ac:dyDescent="0.2">
      <c r="A396" s="95"/>
      <c r="B396" s="95"/>
      <c r="C396" s="4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  <c r="AL396" s="95"/>
      <c r="AM396" s="95"/>
    </row>
    <row r="397" spans="1:39" ht="12.75" customHeight="1" x14ac:dyDescent="0.2">
      <c r="A397" s="95"/>
      <c r="B397" s="95"/>
      <c r="C397" s="4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  <c r="AL397" s="95"/>
      <c r="AM397" s="95"/>
    </row>
    <row r="398" spans="1:39" ht="12.75" customHeight="1" x14ac:dyDescent="0.2">
      <c r="A398" s="95"/>
      <c r="B398" s="95"/>
      <c r="C398" s="4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  <c r="AL398" s="95"/>
      <c r="AM398" s="95"/>
    </row>
    <row r="399" spans="1:39" ht="12.75" customHeight="1" x14ac:dyDescent="0.2">
      <c r="A399" s="95"/>
      <c r="B399" s="95"/>
      <c r="C399" s="4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  <c r="AL399" s="95"/>
      <c r="AM399" s="95"/>
    </row>
    <row r="400" spans="1:39" ht="12.75" customHeight="1" x14ac:dyDescent="0.2">
      <c r="A400" s="95"/>
      <c r="B400" s="95"/>
      <c r="C400" s="4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  <c r="AL400" s="95"/>
      <c r="AM400" s="95"/>
    </row>
    <row r="401" spans="1:39" ht="12.75" customHeight="1" x14ac:dyDescent="0.2">
      <c r="A401" s="95"/>
      <c r="B401" s="95"/>
      <c r="C401" s="4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  <c r="AL401" s="95"/>
      <c r="AM401" s="95"/>
    </row>
    <row r="402" spans="1:39" ht="12.75" customHeight="1" x14ac:dyDescent="0.2">
      <c r="A402" s="95"/>
      <c r="B402" s="95"/>
      <c r="C402" s="4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  <c r="AL402" s="95"/>
      <c r="AM402" s="95"/>
    </row>
    <row r="403" spans="1:39" ht="12.75" customHeight="1" x14ac:dyDescent="0.2">
      <c r="A403" s="95"/>
      <c r="B403" s="95"/>
      <c r="C403" s="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  <c r="AL403" s="95"/>
      <c r="AM403" s="95"/>
    </row>
    <row r="404" spans="1:39" ht="12.75" customHeight="1" x14ac:dyDescent="0.2">
      <c r="A404" s="95"/>
      <c r="B404" s="95"/>
      <c r="C404" s="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  <c r="AL404" s="95"/>
      <c r="AM404" s="95"/>
    </row>
    <row r="405" spans="1:39" ht="12.75" customHeight="1" x14ac:dyDescent="0.2">
      <c r="A405" s="95"/>
      <c r="B405" s="95"/>
      <c r="C405" s="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  <c r="AL405" s="95"/>
      <c r="AM405" s="95"/>
    </row>
    <row r="406" spans="1:39" ht="12.75" customHeight="1" x14ac:dyDescent="0.2">
      <c r="A406" s="95"/>
      <c r="B406" s="95"/>
      <c r="C406" s="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  <c r="AL406" s="95"/>
      <c r="AM406" s="95"/>
    </row>
    <row r="407" spans="1:39" ht="12.75" customHeight="1" x14ac:dyDescent="0.2">
      <c r="A407" s="95"/>
      <c r="B407" s="95"/>
      <c r="C407" s="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  <c r="AL407" s="95"/>
      <c r="AM407" s="95"/>
    </row>
    <row r="408" spans="1:39" ht="12.75" customHeight="1" x14ac:dyDescent="0.2">
      <c r="A408" s="95"/>
      <c r="B408" s="95"/>
      <c r="C408" s="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  <c r="AL408" s="95"/>
      <c r="AM408" s="95"/>
    </row>
    <row r="409" spans="1:39" ht="12.75" customHeight="1" x14ac:dyDescent="0.2">
      <c r="A409" s="95"/>
      <c r="B409" s="95"/>
      <c r="C409" s="4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  <c r="AL409" s="95"/>
      <c r="AM409" s="95"/>
    </row>
    <row r="410" spans="1:39" ht="12.75" customHeight="1" x14ac:dyDescent="0.2">
      <c r="A410" s="95"/>
      <c r="B410" s="95"/>
      <c r="C410" s="4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  <c r="AL410" s="95"/>
      <c r="AM410" s="95"/>
    </row>
    <row r="411" spans="1:39" ht="12.75" customHeight="1" x14ac:dyDescent="0.2">
      <c r="A411" s="95"/>
      <c r="B411" s="95"/>
      <c r="C411" s="4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  <c r="AL411" s="95"/>
      <c r="AM411" s="95"/>
    </row>
    <row r="412" spans="1:39" ht="12.75" customHeight="1" x14ac:dyDescent="0.2">
      <c r="A412" s="95"/>
      <c r="B412" s="95"/>
      <c r="C412" s="4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  <c r="AL412" s="95"/>
      <c r="AM412" s="95"/>
    </row>
    <row r="413" spans="1:39" ht="12.75" customHeight="1" x14ac:dyDescent="0.2">
      <c r="A413" s="95"/>
      <c r="B413" s="95"/>
      <c r="C413" s="4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  <c r="AL413" s="95"/>
      <c r="AM413" s="95"/>
    </row>
    <row r="414" spans="1:39" ht="12.75" customHeight="1" x14ac:dyDescent="0.2">
      <c r="A414" s="95"/>
      <c r="B414" s="95"/>
      <c r="C414" s="4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  <c r="AL414" s="95"/>
      <c r="AM414" s="95"/>
    </row>
    <row r="415" spans="1:39" ht="12.75" customHeight="1" x14ac:dyDescent="0.2">
      <c r="A415" s="95"/>
      <c r="B415" s="95"/>
      <c r="C415" s="4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  <c r="AL415" s="95"/>
      <c r="AM415" s="95"/>
    </row>
    <row r="416" spans="1:39" ht="12.75" customHeight="1" x14ac:dyDescent="0.2">
      <c r="A416" s="95"/>
      <c r="B416" s="95"/>
      <c r="C416" s="4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  <c r="AL416" s="95"/>
      <c r="AM416" s="95"/>
    </row>
    <row r="417" spans="1:39" ht="12.75" customHeight="1" x14ac:dyDescent="0.2">
      <c r="A417" s="95"/>
      <c r="B417" s="95"/>
      <c r="C417" s="4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  <c r="AL417" s="95"/>
      <c r="AM417" s="95"/>
    </row>
    <row r="418" spans="1:39" ht="12.75" customHeight="1" x14ac:dyDescent="0.2">
      <c r="A418" s="95"/>
      <c r="B418" s="95"/>
      <c r="C418" s="4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  <c r="AL418" s="95"/>
      <c r="AM418" s="95"/>
    </row>
    <row r="419" spans="1:39" ht="12.75" customHeight="1" x14ac:dyDescent="0.2">
      <c r="A419" s="95"/>
      <c r="B419" s="95"/>
      <c r="C419" s="4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  <c r="AL419" s="95"/>
      <c r="AM419" s="95"/>
    </row>
    <row r="420" spans="1:39" ht="12.75" customHeight="1" x14ac:dyDescent="0.2">
      <c r="A420" s="95"/>
      <c r="B420" s="95"/>
      <c r="C420" s="4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  <c r="AL420" s="95"/>
      <c r="AM420" s="95"/>
    </row>
    <row r="421" spans="1:39" ht="12.75" customHeight="1" x14ac:dyDescent="0.2">
      <c r="A421" s="95"/>
      <c r="B421" s="95"/>
      <c r="C421" s="4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  <c r="AL421" s="95"/>
      <c r="AM421" s="95"/>
    </row>
    <row r="422" spans="1:39" ht="12.75" customHeight="1" x14ac:dyDescent="0.2">
      <c r="A422" s="95"/>
      <c r="B422" s="95"/>
      <c r="C422" s="4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  <c r="AL422" s="95"/>
      <c r="AM422" s="95"/>
    </row>
    <row r="423" spans="1:39" ht="12.75" customHeight="1" x14ac:dyDescent="0.2">
      <c r="A423" s="95"/>
      <c r="B423" s="95"/>
      <c r="C423" s="4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  <c r="AL423" s="95"/>
      <c r="AM423" s="95"/>
    </row>
    <row r="424" spans="1:39" ht="12.75" customHeight="1" x14ac:dyDescent="0.2">
      <c r="A424" s="95"/>
      <c r="B424" s="95"/>
      <c r="C424" s="4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  <c r="AL424" s="95"/>
      <c r="AM424" s="95"/>
    </row>
    <row r="425" spans="1:39" ht="12.75" customHeight="1" x14ac:dyDescent="0.2">
      <c r="A425" s="95"/>
      <c r="B425" s="95"/>
      <c r="C425" s="4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  <c r="AL425" s="95"/>
      <c r="AM425" s="95"/>
    </row>
    <row r="426" spans="1:39" ht="12.75" customHeight="1" x14ac:dyDescent="0.2">
      <c r="A426" s="95"/>
      <c r="B426" s="95"/>
      <c r="C426" s="4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  <c r="AL426" s="95"/>
      <c r="AM426" s="95"/>
    </row>
    <row r="427" spans="1:39" ht="12.75" customHeight="1" x14ac:dyDescent="0.2">
      <c r="A427" s="95"/>
      <c r="B427" s="95"/>
      <c r="C427" s="4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  <c r="AL427" s="95"/>
      <c r="AM427" s="95"/>
    </row>
    <row r="428" spans="1:39" ht="12.75" customHeight="1" x14ac:dyDescent="0.2">
      <c r="A428" s="95"/>
      <c r="B428" s="95"/>
      <c r="C428" s="4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  <c r="AL428" s="95"/>
      <c r="AM428" s="95"/>
    </row>
    <row r="429" spans="1:39" ht="12.75" customHeight="1" x14ac:dyDescent="0.2">
      <c r="A429" s="95"/>
      <c r="B429" s="95"/>
      <c r="C429" s="4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  <c r="AL429" s="95"/>
      <c r="AM429" s="95"/>
    </row>
    <row r="430" spans="1:39" ht="12.75" customHeight="1" x14ac:dyDescent="0.2">
      <c r="A430" s="95"/>
      <c r="B430" s="95"/>
      <c r="C430" s="4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  <c r="AL430" s="95"/>
      <c r="AM430" s="95"/>
    </row>
    <row r="431" spans="1:39" ht="12.75" customHeight="1" x14ac:dyDescent="0.2">
      <c r="A431" s="95"/>
      <c r="B431" s="95"/>
      <c r="C431" s="4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  <c r="AL431" s="95"/>
      <c r="AM431" s="95"/>
    </row>
    <row r="432" spans="1:39" ht="12.75" customHeight="1" x14ac:dyDescent="0.2">
      <c r="A432" s="95"/>
      <c r="B432" s="95"/>
      <c r="C432" s="4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  <c r="AL432" s="95"/>
      <c r="AM432" s="95"/>
    </row>
    <row r="433" spans="1:39" ht="12.75" customHeight="1" x14ac:dyDescent="0.2">
      <c r="A433" s="95"/>
      <c r="B433" s="95"/>
      <c r="C433" s="4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  <c r="AL433" s="95"/>
      <c r="AM433" s="95"/>
    </row>
    <row r="434" spans="1:39" ht="12.75" customHeight="1" x14ac:dyDescent="0.2">
      <c r="A434" s="95"/>
      <c r="B434" s="95"/>
      <c r="C434" s="4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  <c r="AL434" s="95"/>
      <c r="AM434" s="95"/>
    </row>
    <row r="435" spans="1:39" ht="12.75" customHeight="1" x14ac:dyDescent="0.2">
      <c r="A435" s="95"/>
      <c r="B435" s="95"/>
      <c r="C435" s="4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  <c r="AL435" s="95"/>
      <c r="AM435" s="95"/>
    </row>
    <row r="436" spans="1:39" ht="12.75" customHeight="1" x14ac:dyDescent="0.2">
      <c r="A436" s="95"/>
      <c r="B436" s="95"/>
      <c r="C436" s="4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  <c r="AL436" s="95"/>
      <c r="AM436" s="95"/>
    </row>
    <row r="437" spans="1:39" ht="12.75" customHeight="1" x14ac:dyDescent="0.2">
      <c r="A437" s="95"/>
      <c r="B437" s="95"/>
      <c r="C437" s="4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  <c r="AL437" s="95"/>
      <c r="AM437" s="95"/>
    </row>
    <row r="438" spans="1:39" ht="12.75" customHeight="1" x14ac:dyDescent="0.2">
      <c r="A438" s="95"/>
      <c r="B438" s="95"/>
      <c r="C438" s="4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  <c r="AL438" s="95"/>
      <c r="AM438" s="95"/>
    </row>
    <row r="439" spans="1:39" ht="12.75" customHeight="1" x14ac:dyDescent="0.2">
      <c r="A439" s="95"/>
      <c r="B439" s="95"/>
      <c r="C439" s="4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  <c r="AL439" s="95"/>
      <c r="AM439" s="95"/>
    </row>
    <row r="440" spans="1:39" ht="12.75" customHeight="1" x14ac:dyDescent="0.2">
      <c r="A440" s="95"/>
      <c r="B440" s="95"/>
      <c r="C440" s="4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  <c r="AL440" s="95"/>
      <c r="AM440" s="95"/>
    </row>
    <row r="441" spans="1:39" ht="12.75" customHeight="1" x14ac:dyDescent="0.2">
      <c r="A441" s="95"/>
      <c r="B441" s="95"/>
      <c r="C441" s="4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  <c r="AL441" s="95"/>
      <c r="AM441" s="95"/>
    </row>
    <row r="442" spans="1:39" ht="12.75" customHeight="1" x14ac:dyDescent="0.2">
      <c r="A442" s="95"/>
      <c r="B442" s="95"/>
      <c r="C442" s="4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  <c r="AL442" s="95"/>
      <c r="AM442" s="95"/>
    </row>
    <row r="443" spans="1:39" ht="12.75" customHeight="1" x14ac:dyDescent="0.2">
      <c r="A443" s="95"/>
      <c r="B443" s="95"/>
      <c r="C443" s="4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  <c r="AL443" s="95"/>
      <c r="AM443" s="95"/>
    </row>
    <row r="444" spans="1:39" ht="12.75" customHeight="1" x14ac:dyDescent="0.2">
      <c r="A444" s="95"/>
      <c r="B444" s="95"/>
      <c r="C444" s="4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  <c r="AL444" s="95"/>
      <c r="AM444" s="95"/>
    </row>
    <row r="445" spans="1:39" ht="12.75" customHeight="1" x14ac:dyDescent="0.2">
      <c r="A445" s="95"/>
      <c r="B445" s="95"/>
      <c r="C445" s="4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  <c r="AL445" s="95"/>
      <c r="AM445" s="95"/>
    </row>
    <row r="446" spans="1:39" ht="12.75" customHeight="1" x14ac:dyDescent="0.2">
      <c r="A446" s="95"/>
      <c r="B446" s="95"/>
      <c r="C446" s="4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  <c r="AL446" s="95"/>
      <c r="AM446" s="95"/>
    </row>
    <row r="447" spans="1:39" ht="12.75" customHeight="1" x14ac:dyDescent="0.2">
      <c r="A447" s="95"/>
      <c r="B447" s="95"/>
      <c r="C447" s="4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  <c r="AL447" s="95"/>
      <c r="AM447" s="95"/>
    </row>
    <row r="448" spans="1:39" ht="12.75" customHeight="1" x14ac:dyDescent="0.2">
      <c r="A448" s="95"/>
      <c r="B448" s="95"/>
      <c r="C448" s="4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  <c r="AL448" s="95"/>
      <c r="AM448" s="95"/>
    </row>
    <row r="449" spans="1:39" ht="12.75" customHeight="1" x14ac:dyDescent="0.2">
      <c r="A449" s="95"/>
      <c r="B449" s="95"/>
      <c r="C449" s="4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  <c r="AL449" s="95"/>
      <c r="AM449" s="95"/>
    </row>
    <row r="450" spans="1:39" ht="12.75" customHeight="1" x14ac:dyDescent="0.2">
      <c r="A450" s="95"/>
      <c r="B450" s="95"/>
      <c r="C450" s="4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  <c r="AL450" s="95"/>
      <c r="AM450" s="95"/>
    </row>
    <row r="451" spans="1:39" ht="12.75" customHeight="1" x14ac:dyDescent="0.2">
      <c r="A451" s="95"/>
      <c r="B451" s="95"/>
      <c r="C451" s="4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  <c r="AL451" s="95"/>
      <c r="AM451" s="95"/>
    </row>
    <row r="452" spans="1:39" ht="12.75" customHeight="1" x14ac:dyDescent="0.2">
      <c r="A452" s="95"/>
      <c r="B452" s="95"/>
      <c r="C452" s="4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  <c r="AL452" s="95"/>
      <c r="AM452" s="95"/>
    </row>
    <row r="453" spans="1:39" ht="12.75" customHeight="1" x14ac:dyDescent="0.2">
      <c r="A453" s="95"/>
      <c r="B453" s="95"/>
      <c r="C453" s="4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  <c r="AL453" s="95"/>
      <c r="AM453" s="95"/>
    </row>
    <row r="454" spans="1:39" ht="12.75" customHeight="1" x14ac:dyDescent="0.2">
      <c r="A454" s="95"/>
      <c r="B454" s="95"/>
      <c r="C454" s="4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  <c r="AL454" s="95"/>
      <c r="AM454" s="95"/>
    </row>
    <row r="455" spans="1:39" ht="12.75" customHeight="1" x14ac:dyDescent="0.2">
      <c r="A455" s="95"/>
      <c r="B455" s="95"/>
      <c r="C455" s="4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  <c r="AL455" s="95"/>
      <c r="AM455" s="95"/>
    </row>
    <row r="456" spans="1:39" ht="12.75" customHeight="1" x14ac:dyDescent="0.2">
      <c r="A456" s="95"/>
      <c r="B456" s="95"/>
      <c r="C456" s="4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  <c r="AL456" s="95"/>
      <c r="AM456" s="95"/>
    </row>
    <row r="457" spans="1:39" ht="12.75" customHeight="1" x14ac:dyDescent="0.2">
      <c r="A457" s="95"/>
      <c r="B457" s="95"/>
      <c r="C457" s="4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  <c r="AL457" s="95"/>
      <c r="AM457" s="95"/>
    </row>
    <row r="458" spans="1:39" ht="12.75" customHeight="1" x14ac:dyDescent="0.2">
      <c r="A458" s="95"/>
      <c r="B458" s="95"/>
      <c r="C458" s="4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  <c r="AL458" s="95"/>
      <c r="AM458" s="95"/>
    </row>
    <row r="459" spans="1:39" ht="12.75" customHeight="1" x14ac:dyDescent="0.2">
      <c r="A459" s="95"/>
      <c r="B459" s="95"/>
      <c r="C459" s="4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  <c r="AL459" s="95"/>
      <c r="AM459" s="95"/>
    </row>
    <row r="460" spans="1:39" ht="12.75" customHeight="1" x14ac:dyDescent="0.2">
      <c r="A460" s="95"/>
      <c r="B460" s="95"/>
      <c r="C460" s="4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</row>
    <row r="461" spans="1:39" ht="12.75" customHeight="1" x14ac:dyDescent="0.2">
      <c r="A461" s="95"/>
      <c r="B461" s="95"/>
      <c r="C461" s="4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  <c r="AL461" s="95"/>
      <c r="AM461" s="95"/>
    </row>
    <row r="462" spans="1:39" ht="12.75" customHeight="1" x14ac:dyDescent="0.2">
      <c r="A462" s="95"/>
      <c r="B462" s="95"/>
      <c r="C462" s="4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  <c r="AL462" s="95"/>
      <c r="AM462" s="95"/>
    </row>
    <row r="463" spans="1:39" ht="12.75" customHeight="1" x14ac:dyDescent="0.2">
      <c r="A463" s="95"/>
      <c r="B463" s="95"/>
      <c r="C463" s="4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  <c r="AL463" s="95"/>
      <c r="AM463" s="95"/>
    </row>
    <row r="464" spans="1:39" ht="12.75" customHeight="1" x14ac:dyDescent="0.2">
      <c r="A464" s="95"/>
      <c r="B464" s="95"/>
      <c r="C464" s="4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</row>
    <row r="465" spans="1:39" ht="12.75" customHeight="1" x14ac:dyDescent="0.2">
      <c r="A465" s="95"/>
      <c r="B465" s="95"/>
      <c r="C465" s="4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  <c r="AL465" s="95"/>
      <c r="AM465" s="95"/>
    </row>
    <row r="466" spans="1:39" ht="12.75" customHeight="1" x14ac:dyDescent="0.2">
      <c r="A466" s="95"/>
      <c r="B466" s="95"/>
      <c r="C466" s="4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  <c r="AL466" s="95"/>
      <c r="AM466" s="95"/>
    </row>
    <row r="467" spans="1:39" ht="12.75" customHeight="1" x14ac:dyDescent="0.2">
      <c r="A467" s="95"/>
      <c r="B467" s="95"/>
      <c r="C467" s="4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  <c r="AL467" s="95"/>
      <c r="AM467" s="95"/>
    </row>
    <row r="468" spans="1:39" ht="12.75" customHeight="1" x14ac:dyDescent="0.2">
      <c r="A468" s="95"/>
      <c r="B468" s="95"/>
      <c r="C468" s="4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  <c r="AL468" s="95"/>
      <c r="AM468" s="95"/>
    </row>
    <row r="469" spans="1:39" ht="12.75" customHeight="1" x14ac:dyDescent="0.2">
      <c r="A469" s="95"/>
      <c r="B469" s="95"/>
      <c r="C469" s="4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  <c r="AL469" s="95"/>
      <c r="AM469" s="95"/>
    </row>
    <row r="470" spans="1:39" ht="12.75" customHeight="1" x14ac:dyDescent="0.2">
      <c r="A470" s="95"/>
      <c r="B470" s="95"/>
      <c r="C470" s="4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  <c r="AL470" s="95"/>
      <c r="AM470" s="95"/>
    </row>
    <row r="471" spans="1:39" ht="12.75" customHeight="1" x14ac:dyDescent="0.2">
      <c r="A471" s="95"/>
      <c r="B471" s="95"/>
      <c r="C471" s="4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  <c r="AL471" s="95"/>
      <c r="AM471" s="95"/>
    </row>
    <row r="472" spans="1:39" ht="12.75" customHeight="1" x14ac:dyDescent="0.2">
      <c r="A472" s="95"/>
      <c r="B472" s="95"/>
      <c r="C472" s="4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  <c r="AL472" s="95"/>
      <c r="AM472" s="95"/>
    </row>
    <row r="473" spans="1:39" ht="12.75" customHeight="1" x14ac:dyDescent="0.2">
      <c r="A473" s="95"/>
      <c r="B473" s="95"/>
      <c r="C473" s="4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  <c r="AL473" s="95"/>
      <c r="AM473" s="95"/>
    </row>
    <row r="474" spans="1:39" ht="12.75" customHeight="1" x14ac:dyDescent="0.2">
      <c r="A474" s="95"/>
      <c r="B474" s="95"/>
      <c r="C474" s="4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  <c r="AL474" s="95"/>
      <c r="AM474" s="95"/>
    </row>
    <row r="475" spans="1:39" ht="12.75" customHeight="1" x14ac:dyDescent="0.2">
      <c r="A475" s="95"/>
      <c r="B475" s="95"/>
      <c r="C475" s="4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  <c r="AL475" s="95"/>
      <c r="AM475" s="95"/>
    </row>
    <row r="476" spans="1:39" ht="12.75" customHeight="1" x14ac:dyDescent="0.2">
      <c r="A476" s="95"/>
      <c r="B476" s="95"/>
      <c r="C476" s="4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  <c r="AL476" s="95"/>
      <c r="AM476" s="95"/>
    </row>
    <row r="477" spans="1:39" ht="12.75" customHeight="1" x14ac:dyDescent="0.2">
      <c r="A477" s="95"/>
      <c r="B477" s="95"/>
      <c r="C477" s="4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  <c r="AL477" s="95"/>
      <c r="AM477" s="95"/>
    </row>
    <row r="478" spans="1:39" ht="12.75" customHeight="1" x14ac:dyDescent="0.2">
      <c r="A478" s="95"/>
      <c r="B478" s="95"/>
      <c r="C478" s="4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  <c r="AL478" s="95"/>
      <c r="AM478" s="95"/>
    </row>
    <row r="479" spans="1:39" ht="12.75" customHeight="1" x14ac:dyDescent="0.2">
      <c r="A479" s="95"/>
      <c r="B479" s="95"/>
      <c r="C479" s="4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  <c r="AL479" s="95"/>
      <c r="AM479" s="95"/>
    </row>
    <row r="480" spans="1:39" ht="12.75" customHeight="1" x14ac:dyDescent="0.2">
      <c r="A480" s="95"/>
      <c r="B480" s="95"/>
      <c r="C480" s="4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  <c r="AL480" s="95"/>
      <c r="AM480" s="95"/>
    </row>
    <row r="481" spans="1:39" ht="12.75" customHeight="1" x14ac:dyDescent="0.2">
      <c r="A481" s="95"/>
      <c r="B481" s="95"/>
      <c r="C481" s="4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  <c r="AL481" s="95"/>
      <c r="AM481" s="95"/>
    </row>
    <row r="482" spans="1:39" ht="12.75" customHeight="1" x14ac:dyDescent="0.2">
      <c r="A482" s="95"/>
      <c r="B482" s="95"/>
      <c r="C482" s="4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  <c r="AL482" s="95"/>
      <c r="AM482" s="95"/>
    </row>
    <row r="483" spans="1:39" ht="12.75" customHeight="1" x14ac:dyDescent="0.2">
      <c r="A483" s="95"/>
      <c r="B483" s="95"/>
      <c r="C483" s="4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  <c r="AL483" s="95"/>
      <c r="AM483" s="95"/>
    </row>
    <row r="484" spans="1:39" ht="12.75" customHeight="1" x14ac:dyDescent="0.2">
      <c r="A484" s="95"/>
      <c r="B484" s="95"/>
      <c r="C484" s="4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  <c r="AL484" s="95"/>
      <c r="AM484" s="95"/>
    </row>
    <row r="485" spans="1:39" ht="12.75" customHeight="1" x14ac:dyDescent="0.2">
      <c r="A485" s="95"/>
      <c r="B485" s="95"/>
      <c r="C485" s="4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  <c r="AL485" s="95"/>
      <c r="AM485" s="95"/>
    </row>
    <row r="486" spans="1:39" ht="12.75" customHeight="1" x14ac:dyDescent="0.2">
      <c r="A486" s="95"/>
      <c r="B486" s="95"/>
      <c r="C486" s="4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  <c r="AL486" s="95"/>
      <c r="AM486" s="95"/>
    </row>
    <row r="487" spans="1:39" ht="12.75" customHeight="1" x14ac:dyDescent="0.2">
      <c r="A487" s="95"/>
      <c r="B487" s="95"/>
      <c r="C487" s="4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  <c r="AL487" s="95"/>
      <c r="AM487" s="95"/>
    </row>
    <row r="488" spans="1:39" ht="12.75" customHeight="1" x14ac:dyDescent="0.2">
      <c r="A488" s="95"/>
      <c r="B488" s="95"/>
      <c r="C488" s="4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  <c r="AL488" s="95"/>
      <c r="AM488" s="95"/>
    </row>
    <row r="489" spans="1:39" ht="12.75" customHeight="1" x14ac:dyDescent="0.2">
      <c r="A489" s="95"/>
      <c r="B489" s="95"/>
      <c r="C489" s="4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  <c r="AL489" s="95"/>
      <c r="AM489" s="95"/>
    </row>
    <row r="490" spans="1:39" ht="12.75" customHeight="1" x14ac:dyDescent="0.2">
      <c r="A490" s="95"/>
      <c r="B490" s="95"/>
      <c r="C490" s="4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  <c r="AL490" s="95"/>
      <c r="AM490" s="95"/>
    </row>
    <row r="491" spans="1:39" ht="12.75" customHeight="1" x14ac:dyDescent="0.2">
      <c r="A491" s="95"/>
      <c r="B491" s="95"/>
      <c r="C491" s="4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  <c r="AL491" s="95"/>
      <c r="AM491" s="95"/>
    </row>
    <row r="492" spans="1:39" ht="12.75" customHeight="1" x14ac:dyDescent="0.2">
      <c r="A492" s="95"/>
      <c r="B492" s="95"/>
      <c r="C492" s="4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  <c r="AL492" s="95"/>
      <c r="AM492" s="95"/>
    </row>
    <row r="493" spans="1:39" ht="12.75" customHeight="1" x14ac:dyDescent="0.2">
      <c r="A493" s="95"/>
      <c r="B493" s="95"/>
      <c r="C493" s="4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  <c r="AL493" s="95"/>
      <c r="AM493" s="95"/>
    </row>
    <row r="494" spans="1:39" ht="12.75" customHeight="1" x14ac:dyDescent="0.2">
      <c r="A494" s="95"/>
      <c r="B494" s="95"/>
      <c r="C494" s="4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  <c r="AL494" s="95"/>
      <c r="AM494" s="95"/>
    </row>
    <row r="495" spans="1:39" ht="12.75" customHeight="1" x14ac:dyDescent="0.2">
      <c r="A495" s="95"/>
      <c r="B495" s="95"/>
      <c r="C495" s="4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  <c r="AL495" s="95"/>
      <c r="AM495" s="95"/>
    </row>
    <row r="496" spans="1:39" ht="12.75" customHeight="1" x14ac:dyDescent="0.2">
      <c r="A496" s="95"/>
      <c r="B496" s="95"/>
      <c r="C496" s="4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  <c r="AL496" s="95"/>
      <c r="AM496" s="95"/>
    </row>
    <row r="497" spans="1:39" ht="12.75" customHeight="1" x14ac:dyDescent="0.2">
      <c r="A497" s="95"/>
      <c r="B497" s="95"/>
      <c r="C497" s="4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  <c r="AL497" s="95"/>
      <c r="AM497" s="95"/>
    </row>
    <row r="498" spans="1:39" ht="12.75" customHeight="1" x14ac:dyDescent="0.2">
      <c r="A498" s="95"/>
      <c r="B498" s="95"/>
      <c r="C498" s="4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  <c r="AL498" s="95"/>
      <c r="AM498" s="95"/>
    </row>
    <row r="499" spans="1:39" ht="12.75" customHeight="1" x14ac:dyDescent="0.2">
      <c r="A499" s="95"/>
      <c r="B499" s="95"/>
      <c r="C499" s="4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  <c r="AL499" s="95"/>
      <c r="AM499" s="95"/>
    </row>
    <row r="500" spans="1:39" ht="12.75" customHeight="1" x14ac:dyDescent="0.2">
      <c r="A500" s="95"/>
      <c r="B500" s="95"/>
      <c r="C500" s="4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  <c r="AL500" s="95"/>
      <c r="AM500" s="95"/>
    </row>
    <row r="501" spans="1:39" ht="12.75" customHeight="1" x14ac:dyDescent="0.2">
      <c r="A501" s="95"/>
      <c r="B501" s="95"/>
      <c r="C501" s="4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  <c r="AL501" s="95"/>
      <c r="AM501" s="95"/>
    </row>
    <row r="502" spans="1:39" ht="12.75" customHeight="1" x14ac:dyDescent="0.2">
      <c r="A502" s="95"/>
      <c r="B502" s="95"/>
      <c r="C502" s="4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  <c r="AL502" s="95"/>
      <c r="AM502" s="95"/>
    </row>
    <row r="503" spans="1:39" ht="12.75" customHeight="1" x14ac:dyDescent="0.2">
      <c r="A503" s="95"/>
      <c r="B503" s="95"/>
      <c r="C503" s="4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  <c r="AL503" s="95"/>
      <c r="AM503" s="95"/>
    </row>
    <row r="504" spans="1:39" ht="12.75" customHeight="1" x14ac:dyDescent="0.2">
      <c r="A504" s="95"/>
      <c r="B504" s="95"/>
      <c r="C504" s="4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  <c r="AL504" s="95"/>
      <c r="AM504" s="95"/>
    </row>
    <row r="505" spans="1:39" ht="12.75" customHeight="1" x14ac:dyDescent="0.2">
      <c r="A505" s="95"/>
      <c r="B505" s="95"/>
      <c r="C505" s="4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  <c r="AL505" s="95"/>
      <c r="AM505" s="95"/>
    </row>
    <row r="506" spans="1:39" ht="12.75" customHeight="1" x14ac:dyDescent="0.2">
      <c r="A506" s="95"/>
      <c r="B506" s="95"/>
      <c r="C506" s="4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  <c r="AL506" s="95"/>
      <c r="AM506" s="95"/>
    </row>
    <row r="507" spans="1:39" ht="12.75" customHeight="1" x14ac:dyDescent="0.2">
      <c r="A507" s="95"/>
      <c r="B507" s="95"/>
      <c r="C507" s="4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  <c r="AL507" s="95"/>
      <c r="AM507" s="95"/>
    </row>
    <row r="508" spans="1:39" ht="12.75" customHeight="1" x14ac:dyDescent="0.2">
      <c r="A508" s="95"/>
      <c r="B508" s="95"/>
      <c r="C508" s="4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  <c r="AL508" s="95"/>
      <c r="AM508" s="95"/>
    </row>
    <row r="509" spans="1:39" ht="12.75" customHeight="1" x14ac:dyDescent="0.2">
      <c r="A509" s="95"/>
      <c r="B509" s="95"/>
      <c r="C509" s="4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  <c r="AL509" s="95"/>
      <c r="AM509" s="95"/>
    </row>
    <row r="510" spans="1:39" ht="12.75" customHeight="1" x14ac:dyDescent="0.2">
      <c r="A510" s="95"/>
      <c r="B510" s="95"/>
      <c r="C510" s="4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  <c r="AL510" s="95"/>
      <c r="AM510" s="95"/>
    </row>
    <row r="511" spans="1:39" ht="12.75" customHeight="1" x14ac:dyDescent="0.2">
      <c r="A511" s="95"/>
      <c r="B511" s="95"/>
      <c r="C511" s="4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  <c r="AL511" s="95"/>
      <c r="AM511" s="95"/>
    </row>
    <row r="512" spans="1:39" ht="12.75" customHeight="1" x14ac:dyDescent="0.2">
      <c r="A512" s="95"/>
      <c r="B512" s="95"/>
      <c r="C512" s="4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  <c r="AL512" s="95"/>
      <c r="AM512" s="95"/>
    </row>
    <row r="513" spans="1:39" ht="12.75" customHeight="1" x14ac:dyDescent="0.2">
      <c r="A513" s="95"/>
      <c r="B513" s="95"/>
      <c r="C513" s="4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  <c r="AL513" s="95"/>
      <c r="AM513" s="95"/>
    </row>
    <row r="514" spans="1:39" ht="12.75" customHeight="1" x14ac:dyDescent="0.2">
      <c r="A514" s="95"/>
      <c r="B514" s="95"/>
      <c r="C514" s="4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  <c r="AL514" s="95"/>
      <c r="AM514" s="95"/>
    </row>
    <row r="515" spans="1:39" ht="12.75" customHeight="1" x14ac:dyDescent="0.2">
      <c r="A515" s="95"/>
      <c r="B515" s="95"/>
      <c r="C515" s="4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  <c r="AL515" s="95"/>
      <c r="AM515" s="95"/>
    </row>
    <row r="516" spans="1:39" ht="12.75" customHeight="1" x14ac:dyDescent="0.2">
      <c r="A516" s="95"/>
      <c r="B516" s="95"/>
      <c r="C516" s="4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  <c r="AL516" s="95"/>
      <c r="AM516" s="95"/>
    </row>
    <row r="517" spans="1:39" ht="12.75" customHeight="1" x14ac:dyDescent="0.2">
      <c r="A517" s="95"/>
      <c r="B517" s="95"/>
      <c r="C517" s="4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  <c r="AL517" s="95"/>
      <c r="AM517" s="95"/>
    </row>
    <row r="518" spans="1:39" ht="12.75" customHeight="1" x14ac:dyDescent="0.2">
      <c r="A518" s="95"/>
      <c r="B518" s="95"/>
      <c r="C518" s="4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  <c r="AL518" s="95"/>
      <c r="AM518" s="95"/>
    </row>
    <row r="519" spans="1:39" ht="12.75" customHeight="1" x14ac:dyDescent="0.2">
      <c r="A519" s="95"/>
      <c r="B519" s="95"/>
      <c r="C519" s="4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  <c r="AL519" s="95"/>
      <c r="AM519" s="95"/>
    </row>
    <row r="520" spans="1:39" ht="12.75" customHeight="1" x14ac:dyDescent="0.2">
      <c r="A520" s="95"/>
      <c r="B520" s="95"/>
      <c r="C520" s="4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  <c r="AL520" s="95"/>
      <c r="AM520" s="95"/>
    </row>
    <row r="521" spans="1:39" ht="12.75" customHeight="1" x14ac:dyDescent="0.2">
      <c r="A521" s="95"/>
      <c r="B521" s="95"/>
      <c r="C521" s="4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  <c r="AL521" s="95"/>
      <c r="AM521" s="95"/>
    </row>
    <row r="522" spans="1:39" ht="12.75" customHeight="1" x14ac:dyDescent="0.2">
      <c r="A522" s="95"/>
      <c r="B522" s="95"/>
      <c r="C522" s="4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  <c r="AL522" s="95"/>
      <c r="AM522" s="95"/>
    </row>
    <row r="523" spans="1:39" ht="12.75" customHeight="1" x14ac:dyDescent="0.2">
      <c r="A523" s="95"/>
      <c r="B523" s="95"/>
      <c r="C523" s="4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  <c r="AL523" s="95"/>
      <c r="AM523" s="95"/>
    </row>
    <row r="524" spans="1:39" ht="12.75" customHeight="1" x14ac:dyDescent="0.2">
      <c r="A524" s="95"/>
      <c r="B524" s="95"/>
      <c r="C524" s="4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  <c r="AL524" s="95"/>
      <c r="AM524" s="95"/>
    </row>
    <row r="525" spans="1:39" ht="12.75" customHeight="1" x14ac:dyDescent="0.2">
      <c r="A525" s="95"/>
      <c r="B525" s="95"/>
      <c r="C525" s="4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  <c r="AL525" s="95"/>
      <c r="AM525" s="95"/>
    </row>
    <row r="526" spans="1:39" ht="12.75" customHeight="1" x14ac:dyDescent="0.2">
      <c r="A526" s="95"/>
      <c r="B526" s="95"/>
      <c r="C526" s="4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  <c r="AL526" s="95"/>
      <c r="AM526" s="95"/>
    </row>
    <row r="527" spans="1:39" ht="12.75" customHeight="1" x14ac:dyDescent="0.2">
      <c r="A527" s="95"/>
      <c r="B527" s="95"/>
      <c r="C527" s="4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  <c r="AL527" s="95"/>
      <c r="AM527" s="95"/>
    </row>
    <row r="528" spans="1:39" ht="12.75" customHeight="1" x14ac:dyDescent="0.2">
      <c r="A528" s="95"/>
      <c r="B528" s="95"/>
      <c r="C528" s="4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  <c r="AL528" s="95"/>
      <c r="AM528" s="95"/>
    </row>
    <row r="529" spans="1:39" ht="12.75" customHeight="1" x14ac:dyDescent="0.2">
      <c r="A529" s="95"/>
      <c r="B529" s="95"/>
      <c r="C529" s="4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  <c r="AL529" s="95"/>
      <c r="AM529" s="95"/>
    </row>
    <row r="530" spans="1:39" ht="12.75" customHeight="1" x14ac:dyDescent="0.2">
      <c r="A530" s="95"/>
      <c r="B530" s="95"/>
      <c r="C530" s="4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  <c r="AL530" s="95"/>
      <c r="AM530" s="95"/>
    </row>
    <row r="531" spans="1:39" ht="12.75" customHeight="1" x14ac:dyDescent="0.2">
      <c r="A531" s="95"/>
      <c r="B531" s="95"/>
      <c r="C531" s="4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  <c r="AL531" s="95"/>
      <c r="AM531" s="95"/>
    </row>
    <row r="532" spans="1:39" ht="12.75" customHeight="1" x14ac:dyDescent="0.2">
      <c r="A532" s="95"/>
      <c r="B532" s="95"/>
      <c r="C532" s="4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  <c r="AL532" s="95"/>
      <c r="AM532" s="95"/>
    </row>
    <row r="533" spans="1:39" ht="12.75" customHeight="1" x14ac:dyDescent="0.2">
      <c r="A533" s="95"/>
      <c r="B533" s="95"/>
      <c r="C533" s="4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  <c r="AL533" s="95"/>
      <c r="AM533" s="95"/>
    </row>
    <row r="534" spans="1:39" ht="12.75" customHeight="1" x14ac:dyDescent="0.2">
      <c r="A534" s="95"/>
      <c r="B534" s="95"/>
      <c r="C534" s="4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  <c r="AL534" s="95"/>
      <c r="AM534" s="95"/>
    </row>
    <row r="535" spans="1:39" ht="12.75" customHeight="1" x14ac:dyDescent="0.2">
      <c r="A535" s="95"/>
      <c r="B535" s="95"/>
      <c r="C535" s="4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  <c r="AL535" s="95"/>
      <c r="AM535" s="95"/>
    </row>
    <row r="536" spans="1:39" ht="12.75" customHeight="1" x14ac:dyDescent="0.2">
      <c r="A536" s="95"/>
      <c r="B536" s="95"/>
      <c r="C536" s="4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  <c r="AL536" s="95"/>
      <c r="AM536" s="95"/>
    </row>
    <row r="537" spans="1:39" ht="12.75" customHeight="1" x14ac:dyDescent="0.2">
      <c r="A537" s="95"/>
      <c r="B537" s="95"/>
      <c r="C537" s="4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  <c r="AL537" s="95"/>
      <c r="AM537" s="95"/>
    </row>
    <row r="538" spans="1:39" ht="12.75" customHeight="1" x14ac:dyDescent="0.2">
      <c r="A538" s="95"/>
      <c r="B538" s="95"/>
      <c r="C538" s="4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  <c r="AL538" s="95"/>
      <c r="AM538" s="95"/>
    </row>
    <row r="539" spans="1:39" ht="12.75" customHeight="1" x14ac:dyDescent="0.2">
      <c r="A539" s="95"/>
      <c r="B539" s="95"/>
      <c r="C539" s="4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  <c r="AL539" s="95"/>
      <c r="AM539" s="95"/>
    </row>
    <row r="540" spans="1:39" ht="12.75" customHeight="1" x14ac:dyDescent="0.2">
      <c r="A540" s="95"/>
      <c r="B540" s="95"/>
      <c r="C540" s="4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  <c r="AL540" s="95"/>
      <c r="AM540" s="95"/>
    </row>
    <row r="541" spans="1:39" ht="12.75" customHeight="1" x14ac:dyDescent="0.2">
      <c r="A541" s="95"/>
      <c r="B541" s="95"/>
      <c r="C541" s="4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  <c r="AL541" s="95"/>
      <c r="AM541" s="95"/>
    </row>
    <row r="542" spans="1:39" ht="12.75" customHeight="1" x14ac:dyDescent="0.2">
      <c r="A542" s="95"/>
      <c r="B542" s="95"/>
      <c r="C542" s="4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  <c r="AL542" s="95"/>
      <c r="AM542" s="95"/>
    </row>
    <row r="543" spans="1:39" ht="12.75" customHeight="1" x14ac:dyDescent="0.2">
      <c r="A543" s="95"/>
      <c r="B543" s="95"/>
      <c r="C543" s="4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  <c r="AL543" s="95"/>
      <c r="AM543" s="95"/>
    </row>
    <row r="544" spans="1:39" ht="12.75" customHeight="1" x14ac:dyDescent="0.2">
      <c r="A544" s="95"/>
      <c r="B544" s="95"/>
      <c r="C544" s="4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  <c r="AL544" s="95"/>
      <c r="AM544" s="95"/>
    </row>
    <row r="545" spans="1:39" ht="12.75" customHeight="1" x14ac:dyDescent="0.2">
      <c r="A545" s="95"/>
      <c r="B545" s="95"/>
      <c r="C545" s="4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  <c r="AL545" s="95"/>
      <c r="AM545" s="95"/>
    </row>
    <row r="546" spans="1:39" ht="12.75" customHeight="1" x14ac:dyDescent="0.2">
      <c r="A546" s="95"/>
      <c r="B546" s="95"/>
      <c r="C546" s="4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  <c r="AL546" s="95"/>
      <c r="AM546" s="95"/>
    </row>
    <row r="547" spans="1:39" ht="12.75" customHeight="1" x14ac:dyDescent="0.2">
      <c r="A547" s="95"/>
      <c r="B547" s="95"/>
      <c r="C547" s="4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  <c r="AL547" s="95"/>
      <c r="AM547" s="95"/>
    </row>
    <row r="548" spans="1:39" ht="12.75" customHeight="1" x14ac:dyDescent="0.2">
      <c r="A548" s="95"/>
      <c r="B548" s="95"/>
      <c r="C548" s="4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  <c r="AL548" s="95"/>
      <c r="AM548" s="95"/>
    </row>
    <row r="549" spans="1:39" ht="12.75" customHeight="1" x14ac:dyDescent="0.2">
      <c r="A549" s="95"/>
      <c r="B549" s="95"/>
      <c r="C549" s="4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  <c r="AL549" s="95"/>
      <c r="AM549" s="95"/>
    </row>
    <row r="550" spans="1:39" ht="12.75" customHeight="1" x14ac:dyDescent="0.2">
      <c r="A550" s="95"/>
      <c r="B550" s="95"/>
      <c r="C550" s="4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  <c r="AL550" s="95"/>
      <c r="AM550" s="95"/>
    </row>
    <row r="551" spans="1:39" ht="12.75" customHeight="1" x14ac:dyDescent="0.2">
      <c r="A551" s="95"/>
      <c r="B551" s="95"/>
      <c r="C551" s="4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  <c r="AL551" s="95"/>
      <c r="AM551" s="95"/>
    </row>
    <row r="552" spans="1:39" ht="12.75" customHeight="1" x14ac:dyDescent="0.2">
      <c r="A552" s="95"/>
      <c r="B552" s="95"/>
      <c r="C552" s="4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  <c r="AL552" s="95"/>
      <c r="AM552" s="95"/>
    </row>
    <row r="553" spans="1:39" ht="12.75" customHeight="1" x14ac:dyDescent="0.2">
      <c r="A553" s="95"/>
      <c r="B553" s="95"/>
      <c r="C553" s="4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  <c r="AL553" s="95"/>
      <c r="AM553" s="95"/>
    </row>
    <row r="554" spans="1:39" ht="12.75" customHeight="1" x14ac:dyDescent="0.2">
      <c r="A554" s="95"/>
      <c r="B554" s="95"/>
      <c r="C554" s="4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  <c r="AL554" s="95"/>
      <c r="AM554" s="95"/>
    </row>
    <row r="555" spans="1:39" ht="12.75" customHeight="1" x14ac:dyDescent="0.2">
      <c r="A555" s="95"/>
      <c r="B555" s="95"/>
      <c r="C555" s="4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  <c r="AL555" s="95"/>
      <c r="AM555" s="95"/>
    </row>
    <row r="556" spans="1:39" ht="12.75" customHeight="1" x14ac:dyDescent="0.2">
      <c r="A556" s="95"/>
      <c r="B556" s="95"/>
      <c r="C556" s="4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  <c r="AL556" s="95"/>
      <c r="AM556" s="95"/>
    </row>
    <row r="557" spans="1:39" ht="12.75" customHeight="1" x14ac:dyDescent="0.2">
      <c r="A557" s="95"/>
      <c r="B557" s="95"/>
      <c r="C557" s="4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  <c r="AL557" s="95"/>
      <c r="AM557" s="95"/>
    </row>
    <row r="558" spans="1:39" ht="12.75" customHeight="1" x14ac:dyDescent="0.2">
      <c r="A558" s="95"/>
      <c r="B558" s="95"/>
      <c r="C558" s="4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  <c r="AL558" s="95"/>
      <c r="AM558" s="95"/>
    </row>
    <row r="559" spans="1:39" ht="12.75" customHeight="1" x14ac:dyDescent="0.2">
      <c r="A559" s="95"/>
      <c r="B559" s="95"/>
      <c r="C559" s="4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  <c r="AL559" s="95"/>
      <c r="AM559" s="95"/>
    </row>
    <row r="560" spans="1:39" ht="12.75" customHeight="1" x14ac:dyDescent="0.2">
      <c r="A560" s="95"/>
      <c r="B560" s="95"/>
      <c r="C560" s="4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  <c r="AL560" s="95"/>
      <c r="AM560" s="95"/>
    </row>
    <row r="561" spans="1:39" ht="12.75" customHeight="1" x14ac:dyDescent="0.2">
      <c r="A561" s="95"/>
      <c r="B561" s="95"/>
      <c r="C561" s="4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  <c r="AL561" s="95"/>
      <c r="AM561" s="95"/>
    </row>
    <row r="562" spans="1:39" ht="12.75" customHeight="1" x14ac:dyDescent="0.2">
      <c r="A562" s="95"/>
      <c r="B562" s="95"/>
      <c r="C562" s="4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  <c r="AL562" s="95"/>
      <c r="AM562" s="95"/>
    </row>
    <row r="563" spans="1:39" ht="12.75" customHeight="1" x14ac:dyDescent="0.2">
      <c r="A563" s="95"/>
      <c r="B563" s="95"/>
      <c r="C563" s="4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  <c r="AL563" s="95"/>
      <c r="AM563" s="95"/>
    </row>
    <row r="564" spans="1:39" ht="12.75" customHeight="1" x14ac:dyDescent="0.2">
      <c r="A564" s="95"/>
      <c r="B564" s="95"/>
      <c r="C564" s="4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  <c r="AL564" s="95"/>
      <c r="AM564" s="95"/>
    </row>
    <row r="565" spans="1:39" ht="12.75" customHeight="1" x14ac:dyDescent="0.2">
      <c r="A565" s="95"/>
      <c r="B565" s="95"/>
      <c r="C565" s="4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  <c r="AL565" s="95"/>
      <c r="AM565" s="95"/>
    </row>
    <row r="566" spans="1:39" ht="12.75" customHeight="1" x14ac:dyDescent="0.2">
      <c r="A566" s="95"/>
      <c r="B566" s="95"/>
      <c r="C566" s="4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  <c r="AL566" s="95"/>
      <c r="AM566" s="95"/>
    </row>
    <row r="567" spans="1:39" ht="12.75" customHeight="1" x14ac:dyDescent="0.2">
      <c r="A567" s="95"/>
      <c r="B567" s="95"/>
      <c r="C567" s="4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  <c r="AL567" s="95"/>
      <c r="AM567" s="95"/>
    </row>
    <row r="568" spans="1:39" ht="12.75" customHeight="1" x14ac:dyDescent="0.2">
      <c r="A568" s="95"/>
      <c r="B568" s="95"/>
      <c r="C568" s="4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  <c r="AL568" s="95"/>
      <c r="AM568" s="95"/>
    </row>
    <row r="569" spans="1:39" ht="12.75" customHeight="1" x14ac:dyDescent="0.2">
      <c r="A569" s="95"/>
      <c r="B569" s="95"/>
      <c r="C569" s="4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  <c r="AL569" s="95"/>
      <c r="AM569" s="95"/>
    </row>
    <row r="570" spans="1:39" ht="12.75" customHeight="1" x14ac:dyDescent="0.2">
      <c r="A570" s="95"/>
      <c r="B570" s="95"/>
      <c r="C570" s="4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  <c r="AL570" s="95"/>
      <c r="AM570" s="95"/>
    </row>
    <row r="571" spans="1:39" ht="12.75" customHeight="1" x14ac:dyDescent="0.2">
      <c r="A571" s="95"/>
      <c r="B571" s="95"/>
      <c r="C571" s="4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  <c r="AL571" s="95"/>
      <c r="AM571" s="95"/>
    </row>
    <row r="572" spans="1:39" ht="12.75" customHeight="1" x14ac:dyDescent="0.2">
      <c r="A572" s="95"/>
      <c r="B572" s="95"/>
      <c r="C572" s="4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  <c r="AL572" s="95"/>
      <c r="AM572" s="95"/>
    </row>
    <row r="573" spans="1:39" ht="12.75" customHeight="1" x14ac:dyDescent="0.2">
      <c r="A573" s="95"/>
      <c r="B573" s="95"/>
      <c r="C573" s="4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  <c r="AL573" s="95"/>
      <c r="AM573" s="95"/>
    </row>
    <row r="574" spans="1:39" ht="12.75" customHeight="1" x14ac:dyDescent="0.2">
      <c r="A574" s="95"/>
      <c r="B574" s="95"/>
      <c r="C574" s="4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  <c r="AL574" s="95"/>
      <c r="AM574" s="95"/>
    </row>
    <row r="575" spans="1:39" ht="12.75" customHeight="1" x14ac:dyDescent="0.2">
      <c r="A575" s="95"/>
      <c r="B575" s="95"/>
      <c r="C575" s="4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  <c r="AL575" s="95"/>
      <c r="AM575" s="95"/>
    </row>
    <row r="576" spans="1:39" ht="12.75" customHeight="1" x14ac:dyDescent="0.2">
      <c r="A576" s="95"/>
      <c r="B576" s="95"/>
      <c r="C576" s="4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  <c r="AL576" s="95"/>
      <c r="AM576" s="95"/>
    </row>
    <row r="577" spans="1:39" ht="12.75" customHeight="1" x14ac:dyDescent="0.2">
      <c r="A577" s="95"/>
      <c r="B577" s="95"/>
      <c r="C577" s="4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  <c r="AL577" s="95"/>
      <c r="AM577" s="95"/>
    </row>
    <row r="578" spans="1:39" ht="12.75" customHeight="1" x14ac:dyDescent="0.2">
      <c r="A578" s="95"/>
      <c r="B578" s="95"/>
      <c r="C578" s="4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  <c r="AL578" s="95"/>
      <c r="AM578" s="95"/>
    </row>
    <row r="579" spans="1:39" ht="12.75" customHeight="1" x14ac:dyDescent="0.2">
      <c r="A579" s="95"/>
      <c r="B579" s="95"/>
      <c r="C579" s="4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  <c r="AL579" s="95"/>
      <c r="AM579" s="95"/>
    </row>
    <row r="580" spans="1:39" ht="12.75" customHeight="1" x14ac:dyDescent="0.2">
      <c r="A580" s="95"/>
      <c r="B580" s="95"/>
      <c r="C580" s="4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  <c r="AL580" s="95"/>
      <c r="AM580" s="95"/>
    </row>
    <row r="581" spans="1:39" ht="12.75" customHeight="1" x14ac:dyDescent="0.2">
      <c r="A581" s="95"/>
      <c r="B581" s="95"/>
      <c r="C581" s="4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  <c r="AL581" s="95"/>
      <c r="AM581" s="95"/>
    </row>
    <row r="582" spans="1:39" ht="12.75" customHeight="1" x14ac:dyDescent="0.2">
      <c r="A582" s="95"/>
      <c r="B582" s="95"/>
      <c r="C582" s="4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  <c r="AL582" s="95"/>
      <c r="AM582" s="95"/>
    </row>
    <row r="583" spans="1:39" ht="12.75" customHeight="1" x14ac:dyDescent="0.2">
      <c r="A583" s="95"/>
      <c r="B583" s="95"/>
      <c r="C583" s="4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  <c r="AL583" s="95"/>
      <c r="AM583" s="95"/>
    </row>
    <row r="584" spans="1:39" ht="12.75" customHeight="1" x14ac:dyDescent="0.2">
      <c r="A584" s="95"/>
      <c r="B584" s="95"/>
      <c r="C584" s="4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  <c r="AL584" s="95"/>
      <c r="AM584" s="95"/>
    </row>
    <row r="585" spans="1:39" ht="12.75" customHeight="1" x14ac:dyDescent="0.2">
      <c r="A585" s="95"/>
      <c r="B585" s="95"/>
      <c r="C585" s="4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  <c r="AL585" s="95"/>
      <c r="AM585" s="95"/>
    </row>
    <row r="586" spans="1:39" ht="12.75" customHeight="1" x14ac:dyDescent="0.2">
      <c r="A586" s="95"/>
      <c r="B586" s="95"/>
      <c r="C586" s="4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  <c r="AL586" s="95"/>
      <c r="AM586" s="95"/>
    </row>
    <row r="587" spans="1:39" ht="12.75" customHeight="1" x14ac:dyDescent="0.2">
      <c r="A587" s="95"/>
      <c r="B587" s="95"/>
      <c r="C587" s="4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  <c r="AL587" s="95"/>
      <c r="AM587" s="95"/>
    </row>
    <row r="588" spans="1:39" ht="12.75" customHeight="1" x14ac:dyDescent="0.2">
      <c r="A588" s="95"/>
      <c r="B588" s="95"/>
      <c r="C588" s="4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  <c r="AL588" s="95"/>
      <c r="AM588" s="95"/>
    </row>
    <row r="589" spans="1:39" ht="12.75" customHeight="1" x14ac:dyDescent="0.2">
      <c r="A589" s="95"/>
      <c r="B589" s="95"/>
      <c r="C589" s="4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  <c r="AL589" s="95"/>
      <c r="AM589" s="95"/>
    </row>
    <row r="590" spans="1:39" ht="12.75" customHeight="1" x14ac:dyDescent="0.2">
      <c r="A590" s="95"/>
      <c r="B590" s="95"/>
      <c r="C590" s="4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  <c r="AL590" s="95"/>
      <c r="AM590" s="95"/>
    </row>
    <row r="591" spans="1:39" ht="12.75" customHeight="1" x14ac:dyDescent="0.2">
      <c r="A591" s="95"/>
      <c r="B591" s="95"/>
      <c r="C591" s="4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  <c r="AL591" s="95"/>
      <c r="AM591" s="95"/>
    </row>
    <row r="592" spans="1:39" ht="12.75" customHeight="1" x14ac:dyDescent="0.2">
      <c r="A592" s="95"/>
      <c r="B592" s="95"/>
      <c r="C592" s="4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  <c r="AL592" s="95"/>
      <c r="AM592" s="95"/>
    </row>
    <row r="593" spans="1:39" ht="12.75" customHeight="1" x14ac:dyDescent="0.2">
      <c r="A593" s="95"/>
      <c r="B593" s="95"/>
      <c r="C593" s="4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  <c r="AL593" s="95"/>
      <c r="AM593" s="95"/>
    </row>
    <row r="594" spans="1:39" ht="12.75" customHeight="1" x14ac:dyDescent="0.2">
      <c r="A594" s="95"/>
      <c r="B594" s="95"/>
      <c r="C594" s="4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  <c r="AL594" s="95"/>
      <c r="AM594" s="95"/>
    </row>
    <row r="595" spans="1:39" ht="12.75" customHeight="1" x14ac:dyDescent="0.2">
      <c r="A595" s="95"/>
      <c r="B595" s="95"/>
      <c r="C595" s="4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  <c r="AL595" s="95"/>
      <c r="AM595" s="95"/>
    </row>
    <row r="596" spans="1:39" ht="12.75" customHeight="1" x14ac:dyDescent="0.2">
      <c r="A596" s="95"/>
      <c r="B596" s="95"/>
      <c r="C596" s="4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  <c r="AL596" s="95"/>
      <c r="AM596" s="95"/>
    </row>
    <row r="597" spans="1:39" ht="12.75" customHeight="1" x14ac:dyDescent="0.2">
      <c r="A597" s="95"/>
      <c r="B597" s="95"/>
      <c r="C597" s="4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  <c r="AL597" s="95"/>
      <c r="AM597" s="95"/>
    </row>
    <row r="598" spans="1:39" ht="12.75" customHeight="1" x14ac:dyDescent="0.2">
      <c r="A598" s="95"/>
      <c r="B598" s="95"/>
      <c r="C598" s="4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  <c r="AL598" s="95"/>
      <c r="AM598" s="95"/>
    </row>
    <row r="599" spans="1:39" ht="12.75" customHeight="1" x14ac:dyDescent="0.2">
      <c r="A599" s="95"/>
      <c r="B599" s="95"/>
      <c r="C599" s="4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  <c r="AL599" s="95"/>
      <c r="AM599" s="95"/>
    </row>
    <row r="600" spans="1:39" ht="12.75" customHeight="1" x14ac:dyDescent="0.2">
      <c r="A600" s="95"/>
      <c r="B600" s="95"/>
      <c r="C600" s="4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  <c r="AL600" s="95"/>
      <c r="AM600" s="95"/>
    </row>
    <row r="601" spans="1:39" ht="12.75" customHeight="1" x14ac:dyDescent="0.2">
      <c r="A601" s="95"/>
      <c r="B601" s="95"/>
      <c r="C601" s="4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  <c r="AL601" s="95"/>
      <c r="AM601" s="95"/>
    </row>
    <row r="602" spans="1:39" ht="12.75" customHeight="1" x14ac:dyDescent="0.2">
      <c r="A602" s="95"/>
      <c r="B602" s="95"/>
      <c r="C602" s="4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  <c r="AL602" s="95"/>
      <c r="AM602" s="95"/>
    </row>
    <row r="603" spans="1:39" ht="12.75" customHeight="1" x14ac:dyDescent="0.2">
      <c r="A603" s="95"/>
      <c r="B603" s="95"/>
      <c r="C603" s="4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  <c r="AL603" s="95"/>
      <c r="AM603" s="95"/>
    </row>
    <row r="604" spans="1:39" ht="12.75" customHeight="1" x14ac:dyDescent="0.2">
      <c r="A604" s="95"/>
      <c r="B604" s="95"/>
      <c r="C604" s="4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  <c r="AL604" s="95"/>
      <c r="AM604" s="95"/>
    </row>
    <row r="605" spans="1:39" ht="12.75" customHeight="1" x14ac:dyDescent="0.2">
      <c r="A605" s="95"/>
      <c r="B605" s="95"/>
      <c r="C605" s="4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  <c r="AL605" s="95"/>
      <c r="AM605" s="95"/>
    </row>
    <row r="606" spans="1:39" ht="12.75" customHeight="1" x14ac:dyDescent="0.2">
      <c r="A606" s="95"/>
      <c r="B606" s="95"/>
      <c r="C606" s="4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  <c r="AL606" s="95"/>
      <c r="AM606" s="95"/>
    </row>
    <row r="607" spans="1:39" ht="12.75" customHeight="1" x14ac:dyDescent="0.2">
      <c r="A607" s="95"/>
      <c r="B607" s="95"/>
      <c r="C607" s="4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  <c r="AL607" s="95"/>
      <c r="AM607" s="95"/>
    </row>
    <row r="608" spans="1:39" ht="12.75" customHeight="1" x14ac:dyDescent="0.2">
      <c r="A608" s="95"/>
      <c r="B608" s="95"/>
      <c r="C608" s="4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  <c r="AL608" s="95"/>
      <c r="AM608" s="95"/>
    </row>
    <row r="609" spans="1:39" ht="12.75" customHeight="1" x14ac:dyDescent="0.2">
      <c r="A609" s="95"/>
      <c r="B609" s="95"/>
      <c r="C609" s="4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  <c r="AL609" s="95"/>
      <c r="AM609" s="95"/>
    </row>
    <row r="610" spans="1:39" ht="12.75" customHeight="1" x14ac:dyDescent="0.2">
      <c r="A610" s="95"/>
      <c r="B610" s="95"/>
      <c r="C610" s="4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  <c r="AL610" s="95"/>
      <c r="AM610" s="95"/>
    </row>
    <row r="611" spans="1:39" ht="12.75" customHeight="1" x14ac:dyDescent="0.2">
      <c r="A611" s="95"/>
      <c r="B611" s="95"/>
      <c r="C611" s="4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  <c r="AL611" s="95"/>
      <c r="AM611" s="95"/>
    </row>
    <row r="612" spans="1:39" ht="12.75" customHeight="1" x14ac:dyDescent="0.2">
      <c r="A612" s="95"/>
      <c r="B612" s="95"/>
      <c r="C612" s="4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  <c r="AL612" s="95"/>
      <c r="AM612" s="95"/>
    </row>
    <row r="613" spans="1:39" ht="12.75" customHeight="1" x14ac:dyDescent="0.2">
      <c r="A613" s="95"/>
      <c r="B613" s="95"/>
      <c r="C613" s="4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  <c r="AL613" s="95"/>
      <c r="AM613" s="95"/>
    </row>
    <row r="614" spans="1:39" ht="12.75" customHeight="1" x14ac:dyDescent="0.2">
      <c r="A614" s="95"/>
      <c r="B614" s="95"/>
      <c r="C614" s="4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  <c r="AL614" s="95"/>
      <c r="AM614" s="95"/>
    </row>
    <row r="615" spans="1:39" ht="12.75" customHeight="1" x14ac:dyDescent="0.2">
      <c r="A615" s="95"/>
      <c r="B615" s="95"/>
      <c r="C615" s="4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  <c r="AL615" s="95"/>
      <c r="AM615" s="95"/>
    </row>
    <row r="616" spans="1:39" ht="12.75" customHeight="1" x14ac:dyDescent="0.2">
      <c r="A616" s="95"/>
      <c r="B616" s="95"/>
      <c r="C616" s="4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  <c r="AL616" s="95"/>
      <c r="AM616" s="95"/>
    </row>
    <row r="617" spans="1:39" ht="12.75" customHeight="1" x14ac:dyDescent="0.2">
      <c r="A617" s="95"/>
      <c r="B617" s="95"/>
      <c r="C617" s="4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  <c r="AL617" s="95"/>
      <c r="AM617" s="95"/>
    </row>
    <row r="618" spans="1:39" ht="12.75" customHeight="1" x14ac:dyDescent="0.2">
      <c r="A618" s="95"/>
      <c r="B618" s="95"/>
      <c r="C618" s="4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  <c r="AL618" s="95"/>
      <c r="AM618" s="95"/>
    </row>
    <row r="619" spans="1:39" ht="12.75" customHeight="1" x14ac:dyDescent="0.2">
      <c r="A619" s="95"/>
      <c r="B619" s="95"/>
      <c r="C619" s="4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  <c r="AL619" s="95"/>
      <c r="AM619" s="95"/>
    </row>
    <row r="620" spans="1:39" ht="12.75" customHeight="1" x14ac:dyDescent="0.2">
      <c r="A620" s="95"/>
      <c r="B620" s="95"/>
      <c r="C620" s="4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  <c r="AL620" s="95"/>
      <c r="AM620" s="95"/>
    </row>
    <row r="621" spans="1:39" ht="12.75" customHeight="1" x14ac:dyDescent="0.2">
      <c r="A621" s="95"/>
      <c r="B621" s="95"/>
      <c r="C621" s="4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  <c r="AL621" s="95"/>
      <c r="AM621" s="95"/>
    </row>
    <row r="622" spans="1:39" ht="12.75" customHeight="1" x14ac:dyDescent="0.2">
      <c r="A622" s="95"/>
      <c r="B622" s="95"/>
      <c r="C622" s="4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  <c r="AL622" s="95"/>
      <c r="AM622" s="95"/>
    </row>
    <row r="623" spans="1:39" ht="12.75" customHeight="1" x14ac:dyDescent="0.2">
      <c r="A623" s="95"/>
      <c r="B623" s="95"/>
      <c r="C623" s="4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  <c r="AL623" s="95"/>
      <c r="AM623" s="95"/>
    </row>
    <row r="624" spans="1:39" ht="12.75" customHeight="1" x14ac:dyDescent="0.2">
      <c r="A624" s="95"/>
      <c r="B624" s="95"/>
      <c r="C624" s="4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  <c r="AL624" s="95"/>
      <c r="AM624" s="95"/>
    </row>
    <row r="625" spans="1:39" ht="12.75" customHeight="1" x14ac:dyDescent="0.2">
      <c r="A625" s="95"/>
      <c r="B625" s="95"/>
      <c r="C625" s="4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  <c r="AL625" s="95"/>
      <c r="AM625" s="95"/>
    </row>
    <row r="626" spans="1:39" ht="12.75" customHeight="1" x14ac:dyDescent="0.2">
      <c r="A626" s="95"/>
      <c r="B626" s="95"/>
      <c r="C626" s="4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  <c r="AL626" s="95"/>
      <c r="AM626" s="95"/>
    </row>
    <row r="627" spans="1:39" ht="12.75" customHeight="1" x14ac:dyDescent="0.2">
      <c r="A627" s="95"/>
      <c r="B627" s="95"/>
      <c r="C627" s="4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  <c r="AL627" s="95"/>
      <c r="AM627" s="95"/>
    </row>
    <row r="628" spans="1:39" ht="12.75" customHeight="1" x14ac:dyDescent="0.2">
      <c r="A628" s="95"/>
      <c r="B628" s="95"/>
      <c r="C628" s="4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  <c r="AL628" s="95"/>
      <c r="AM628" s="95"/>
    </row>
    <row r="629" spans="1:39" ht="12.75" customHeight="1" x14ac:dyDescent="0.2">
      <c r="A629" s="95"/>
      <c r="B629" s="95"/>
      <c r="C629" s="4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</row>
    <row r="630" spans="1:39" ht="12.75" customHeight="1" x14ac:dyDescent="0.2">
      <c r="A630" s="95"/>
      <c r="B630" s="95"/>
      <c r="C630" s="4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  <c r="AL630" s="95"/>
      <c r="AM630" s="95"/>
    </row>
    <row r="631" spans="1:39" ht="12.75" customHeight="1" x14ac:dyDescent="0.2">
      <c r="A631" s="95"/>
      <c r="B631" s="95"/>
      <c r="C631" s="4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  <c r="AL631" s="95"/>
      <c r="AM631" s="95"/>
    </row>
    <row r="632" spans="1:39" ht="12.75" customHeight="1" x14ac:dyDescent="0.2">
      <c r="A632" s="95"/>
      <c r="B632" s="95"/>
      <c r="C632" s="4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  <c r="AL632" s="95"/>
      <c r="AM632" s="95"/>
    </row>
    <row r="633" spans="1:39" ht="12.75" customHeight="1" x14ac:dyDescent="0.2">
      <c r="A633" s="95"/>
      <c r="B633" s="95"/>
      <c r="C633" s="4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  <c r="AL633" s="95"/>
      <c r="AM633" s="95"/>
    </row>
    <row r="634" spans="1:39" ht="12.75" customHeight="1" x14ac:dyDescent="0.2">
      <c r="A634" s="95"/>
      <c r="B634" s="95"/>
      <c r="C634" s="4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  <c r="AL634" s="95"/>
      <c r="AM634" s="95"/>
    </row>
    <row r="635" spans="1:39" ht="12.75" customHeight="1" x14ac:dyDescent="0.2">
      <c r="A635" s="95"/>
      <c r="B635" s="95"/>
      <c r="C635" s="4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  <c r="AL635" s="95"/>
      <c r="AM635" s="95"/>
    </row>
    <row r="636" spans="1:39" ht="12.75" customHeight="1" x14ac:dyDescent="0.2">
      <c r="A636" s="95"/>
      <c r="B636" s="95"/>
      <c r="C636" s="4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  <c r="AL636" s="95"/>
      <c r="AM636" s="95"/>
    </row>
    <row r="637" spans="1:39" ht="12.75" customHeight="1" x14ac:dyDescent="0.2">
      <c r="A637" s="95"/>
      <c r="B637" s="95"/>
      <c r="C637" s="4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  <c r="AL637" s="95"/>
      <c r="AM637" s="95"/>
    </row>
    <row r="638" spans="1:39" ht="12.75" customHeight="1" x14ac:dyDescent="0.2">
      <c r="A638" s="95"/>
      <c r="B638" s="95"/>
      <c r="C638" s="4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  <c r="AL638" s="95"/>
      <c r="AM638" s="95"/>
    </row>
    <row r="639" spans="1:39" ht="12.75" customHeight="1" x14ac:dyDescent="0.2">
      <c r="A639" s="95"/>
      <c r="B639" s="95"/>
      <c r="C639" s="4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  <c r="AL639" s="95"/>
      <c r="AM639" s="95"/>
    </row>
    <row r="640" spans="1:39" ht="12.75" customHeight="1" x14ac:dyDescent="0.2">
      <c r="A640" s="95"/>
      <c r="B640" s="95"/>
      <c r="C640" s="4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  <c r="AL640" s="95"/>
      <c r="AM640" s="95"/>
    </row>
    <row r="641" spans="1:39" ht="12.75" customHeight="1" x14ac:dyDescent="0.2">
      <c r="A641" s="95"/>
      <c r="B641" s="95"/>
      <c r="C641" s="4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</row>
    <row r="642" spans="1:39" ht="12.75" customHeight="1" x14ac:dyDescent="0.2">
      <c r="A642" s="95"/>
      <c r="B642" s="95"/>
      <c r="C642" s="4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  <c r="AL642" s="95"/>
      <c r="AM642" s="95"/>
    </row>
    <row r="643" spans="1:39" ht="12.75" customHeight="1" x14ac:dyDescent="0.2">
      <c r="A643" s="95"/>
      <c r="B643" s="95"/>
      <c r="C643" s="4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  <c r="AL643" s="95"/>
      <c r="AM643" s="95"/>
    </row>
    <row r="644" spans="1:39" ht="12.75" customHeight="1" x14ac:dyDescent="0.2">
      <c r="A644" s="95"/>
      <c r="B644" s="95"/>
      <c r="C644" s="4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  <c r="AL644" s="95"/>
      <c r="AM644" s="95"/>
    </row>
    <row r="645" spans="1:39" ht="12.75" customHeight="1" x14ac:dyDescent="0.2">
      <c r="A645" s="95"/>
      <c r="B645" s="95"/>
      <c r="C645" s="4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  <c r="AL645" s="95"/>
      <c r="AM645" s="95"/>
    </row>
    <row r="646" spans="1:39" ht="12.75" customHeight="1" x14ac:dyDescent="0.2">
      <c r="A646" s="95"/>
      <c r="B646" s="95"/>
      <c r="C646" s="4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  <c r="AL646" s="95"/>
      <c r="AM646" s="95"/>
    </row>
    <row r="647" spans="1:39" ht="12.75" customHeight="1" x14ac:dyDescent="0.2">
      <c r="A647" s="95"/>
      <c r="B647" s="95"/>
      <c r="C647" s="4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</row>
    <row r="648" spans="1:39" ht="12.75" customHeight="1" x14ac:dyDescent="0.2">
      <c r="A648" s="95"/>
      <c r="B648" s="95"/>
      <c r="C648" s="4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</row>
    <row r="649" spans="1:39" ht="12.75" customHeight="1" x14ac:dyDescent="0.2">
      <c r="A649" s="95"/>
      <c r="B649" s="95"/>
      <c r="C649" s="4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  <c r="AL649" s="95"/>
      <c r="AM649" s="95"/>
    </row>
    <row r="650" spans="1:39" ht="12.75" customHeight="1" x14ac:dyDescent="0.2">
      <c r="A650" s="95"/>
      <c r="B650" s="95"/>
      <c r="C650" s="4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  <c r="AL650" s="95"/>
      <c r="AM650" s="95"/>
    </row>
    <row r="651" spans="1:39" ht="12.75" customHeight="1" x14ac:dyDescent="0.2">
      <c r="A651" s="95"/>
      <c r="B651" s="95"/>
      <c r="C651" s="4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  <c r="AL651" s="95"/>
      <c r="AM651" s="95"/>
    </row>
    <row r="652" spans="1:39" ht="12.75" customHeight="1" x14ac:dyDescent="0.2">
      <c r="A652" s="95"/>
      <c r="B652" s="95"/>
      <c r="C652" s="4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  <c r="AL652" s="95"/>
      <c r="AM652" s="95"/>
    </row>
    <row r="653" spans="1:39" ht="12.75" customHeight="1" x14ac:dyDescent="0.2">
      <c r="A653" s="95"/>
      <c r="B653" s="95"/>
      <c r="C653" s="4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  <c r="AL653" s="95"/>
      <c r="AM653" s="95"/>
    </row>
    <row r="654" spans="1:39" ht="12.75" customHeight="1" x14ac:dyDescent="0.2">
      <c r="A654" s="95"/>
      <c r="B654" s="95"/>
      <c r="C654" s="4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  <c r="AL654" s="95"/>
      <c r="AM654" s="95"/>
    </row>
    <row r="655" spans="1:39" ht="12.75" customHeight="1" x14ac:dyDescent="0.2">
      <c r="A655" s="95"/>
      <c r="B655" s="95"/>
      <c r="C655" s="4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  <c r="AL655" s="95"/>
      <c r="AM655" s="95"/>
    </row>
    <row r="656" spans="1:39" ht="12.75" customHeight="1" x14ac:dyDescent="0.2">
      <c r="A656" s="95"/>
      <c r="B656" s="95"/>
      <c r="C656" s="4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  <c r="AL656" s="95"/>
      <c r="AM656" s="95"/>
    </row>
    <row r="657" spans="1:39" ht="12.75" customHeight="1" x14ac:dyDescent="0.2">
      <c r="A657" s="95"/>
      <c r="B657" s="95"/>
      <c r="C657" s="4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  <c r="AL657" s="95"/>
      <c r="AM657" s="95"/>
    </row>
    <row r="658" spans="1:39" ht="12.75" customHeight="1" x14ac:dyDescent="0.2">
      <c r="A658" s="95"/>
      <c r="B658" s="95"/>
      <c r="C658" s="4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  <c r="AL658" s="95"/>
      <c r="AM658" s="95"/>
    </row>
    <row r="659" spans="1:39" ht="12.75" customHeight="1" x14ac:dyDescent="0.2">
      <c r="A659" s="95"/>
      <c r="B659" s="95"/>
      <c r="C659" s="4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  <c r="AG659" s="95"/>
      <c r="AH659" s="95"/>
      <c r="AI659" s="95"/>
      <c r="AJ659" s="95"/>
      <c r="AK659" s="95"/>
      <c r="AL659" s="95"/>
      <c r="AM659" s="95"/>
    </row>
    <row r="660" spans="1:39" ht="12.75" customHeight="1" x14ac:dyDescent="0.2">
      <c r="A660" s="95"/>
      <c r="B660" s="95"/>
      <c r="C660" s="4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  <c r="AG660" s="95"/>
      <c r="AH660" s="95"/>
      <c r="AI660" s="95"/>
      <c r="AJ660" s="95"/>
      <c r="AK660" s="95"/>
      <c r="AL660" s="95"/>
      <c r="AM660" s="95"/>
    </row>
    <row r="661" spans="1:39" ht="12.75" customHeight="1" x14ac:dyDescent="0.2">
      <c r="A661" s="95"/>
      <c r="B661" s="95"/>
      <c r="C661" s="4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  <c r="AG661" s="95"/>
      <c r="AH661" s="95"/>
      <c r="AI661" s="95"/>
      <c r="AJ661" s="95"/>
      <c r="AK661" s="95"/>
      <c r="AL661" s="95"/>
      <c r="AM661" s="95"/>
    </row>
    <row r="662" spans="1:39" ht="12.75" customHeight="1" x14ac:dyDescent="0.2">
      <c r="A662" s="95"/>
      <c r="B662" s="95"/>
      <c r="C662" s="4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  <c r="AG662" s="95"/>
      <c r="AH662" s="95"/>
      <c r="AI662" s="95"/>
      <c r="AJ662" s="95"/>
      <c r="AK662" s="95"/>
      <c r="AL662" s="95"/>
      <c r="AM662" s="95"/>
    </row>
    <row r="663" spans="1:39" ht="12.75" customHeight="1" x14ac:dyDescent="0.2">
      <c r="A663" s="95"/>
      <c r="B663" s="95"/>
      <c r="C663" s="4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  <c r="AG663" s="95"/>
      <c r="AH663" s="95"/>
      <c r="AI663" s="95"/>
      <c r="AJ663" s="95"/>
      <c r="AK663" s="95"/>
      <c r="AL663" s="95"/>
      <c r="AM663" s="95"/>
    </row>
    <row r="664" spans="1:39" ht="12.75" customHeight="1" x14ac:dyDescent="0.2">
      <c r="A664" s="95"/>
      <c r="B664" s="95"/>
      <c r="C664" s="4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  <c r="AG664" s="95"/>
      <c r="AH664" s="95"/>
      <c r="AI664" s="95"/>
      <c r="AJ664" s="95"/>
      <c r="AK664" s="95"/>
      <c r="AL664" s="95"/>
      <c r="AM664" s="95"/>
    </row>
    <row r="665" spans="1:39" ht="12.75" customHeight="1" x14ac:dyDescent="0.2">
      <c r="A665" s="95"/>
      <c r="B665" s="95"/>
      <c r="C665" s="4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  <c r="AG665" s="95"/>
      <c r="AH665" s="95"/>
      <c r="AI665" s="95"/>
      <c r="AJ665" s="95"/>
      <c r="AK665" s="95"/>
      <c r="AL665" s="95"/>
      <c r="AM665" s="95"/>
    </row>
    <row r="666" spans="1:39" ht="12.75" customHeight="1" x14ac:dyDescent="0.2">
      <c r="A666" s="95"/>
      <c r="B666" s="95"/>
      <c r="C666" s="4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  <c r="AG666" s="95"/>
      <c r="AH666" s="95"/>
      <c r="AI666" s="95"/>
      <c r="AJ666" s="95"/>
      <c r="AK666" s="95"/>
      <c r="AL666" s="95"/>
      <c r="AM666" s="95"/>
    </row>
    <row r="667" spans="1:39" ht="12.75" customHeight="1" x14ac:dyDescent="0.2">
      <c r="A667" s="95"/>
      <c r="B667" s="95"/>
      <c r="C667" s="4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  <c r="AG667" s="95"/>
      <c r="AH667" s="95"/>
      <c r="AI667" s="95"/>
      <c r="AJ667" s="95"/>
      <c r="AK667" s="95"/>
      <c r="AL667" s="95"/>
      <c r="AM667" s="95"/>
    </row>
    <row r="668" spans="1:39" ht="12.75" customHeight="1" x14ac:dyDescent="0.2">
      <c r="A668" s="95"/>
      <c r="B668" s="95"/>
      <c r="C668" s="4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  <c r="AG668" s="95"/>
      <c r="AH668" s="95"/>
      <c r="AI668" s="95"/>
      <c r="AJ668" s="95"/>
      <c r="AK668" s="95"/>
      <c r="AL668" s="95"/>
      <c r="AM668" s="95"/>
    </row>
    <row r="669" spans="1:39" ht="12.75" customHeight="1" x14ac:dyDescent="0.2">
      <c r="A669" s="95"/>
      <c r="B669" s="95"/>
      <c r="C669" s="4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  <c r="AG669" s="95"/>
      <c r="AH669" s="95"/>
      <c r="AI669" s="95"/>
      <c r="AJ669" s="95"/>
      <c r="AK669" s="95"/>
      <c r="AL669" s="95"/>
      <c r="AM669" s="95"/>
    </row>
    <row r="670" spans="1:39" ht="12.75" customHeight="1" x14ac:dyDescent="0.2">
      <c r="A670" s="95"/>
      <c r="B670" s="95"/>
      <c r="C670" s="4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  <c r="AG670" s="95"/>
      <c r="AH670" s="95"/>
      <c r="AI670" s="95"/>
      <c r="AJ670" s="95"/>
      <c r="AK670" s="95"/>
      <c r="AL670" s="95"/>
      <c r="AM670" s="95"/>
    </row>
    <row r="671" spans="1:39" ht="12.75" customHeight="1" x14ac:dyDescent="0.2">
      <c r="A671" s="95"/>
      <c r="B671" s="95"/>
      <c r="C671" s="4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  <c r="AG671" s="95"/>
      <c r="AH671" s="95"/>
      <c r="AI671" s="95"/>
      <c r="AJ671" s="95"/>
      <c r="AK671" s="95"/>
      <c r="AL671" s="95"/>
      <c r="AM671" s="95"/>
    </row>
    <row r="672" spans="1:39" ht="12.75" customHeight="1" x14ac:dyDescent="0.2">
      <c r="A672" s="95"/>
      <c r="B672" s="95"/>
      <c r="C672" s="4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  <c r="AG672" s="95"/>
      <c r="AH672" s="95"/>
      <c r="AI672" s="95"/>
      <c r="AJ672" s="95"/>
      <c r="AK672" s="95"/>
      <c r="AL672" s="95"/>
      <c r="AM672" s="95"/>
    </row>
    <row r="673" spans="1:39" ht="12.75" customHeight="1" x14ac:dyDescent="0.2">
      <c r="A673" s="95"/>
      <c r="B673" s="95"/>
      <c r="C673" s="4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  <c r="AG673" s="95"/>
      <c r="AH673" s="95"/>
      <c r="AI673" s="95"/>
      <c r="AJ673" s="95"/>
      <c r="AK673" s="95"/>
      <c r="AL673" s="95"/>
      <c r="AM673" s="95"/>
    </row>
    <row r="674" spans="1:39" ht="12.75" customHeight="1" x14ac:dyDescent="0.2">
      <c r="A674" s="95"/>
      <c r="B674" s="95"/>
      <c r="C674" s="4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  <c r="AG674" s="95"/>
      <c r="AH674" s="95"/>
      <c r="AI674" s="95"/>
      <c r="AJ674" s="95"/>
      <c r="AK674" s="95"/>
      <c r="AL674" s="95"/>
      <c r="AM674" s="95"/>
    </row>
    <row r="675" spans="1:39" ht="12.75" customHeight="1" x14ac:dyDescent="0.2">
      <c r="A675" s="95"/>
      <c r="B675" s="95"/>
      <c r="C675" s="4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  <c r="AG675" s="95"/>
      <c r="AH675" s="95"/>
      <c r="AI675" s="95"/>
      <c r="AJ675" s="95"/>
      <c r="AK675" s="95"/>
      <c r="AL675" s="95"/>
      <c r="AM675" s="95"/>
    </row>
    <row r="676" spans="1:39" ht="12.75" customHeight="1" x14ac:dyDescent="0.2">
      <c r="A676" s="95"/>
      <c r="B676" s="95"/>
      <c r="C676" s="4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  <c r="AG676" s="95"/>
      <c r="AH676" s="95"/>
      <c r="AI676" s="95"/>
      <c r="AJ676" s="95"/>
      <c r="AK676" s="95"/>
      <c r="AL676" s="95"/>
      <c r="AM676" s="95"/>
    </row>
    <row r="677" spans="1:39" ht="12.75" customHeight="1" x14ac:dyDescent="0.2">
      <c r="A677" s="95"/>
      <c r="B677" s="95"/>
      <c r="C677" s="4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  <c r="AG677" s="95"/>
      <c r="AH677" s="95"/>
      <c r="AI677" s="95"/>
      <c r="AJ677" s="95"/>
      <c r="AK677" s="95"/>
      <c r="AL677" s="95"/>
      <c r="AM677" s="95"/>
    </row>
    <row r="678" spans="1:39" ht="12.75" customHeight="1" x14ac:dyDescent="0.2">
      <c r="A678" s="95"/>
      <c r="B678" s="95"/>
      <c r="C678" s="4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  <c r="AG678" s="95"/>
      <c r="AH678" s="95"/>
      <c r="AI678" s="95"/>
      <c r="AJ678" s="95"/>
      <c r="AK678" s="95"/>
      <c r="AL678" s="95"/>
      <c r="AM678" s="95"/>
    </row>
    <row r="679" spans="1:39" ht="12.75" customHeight="1" x14ac:dyDescent="0.2">
      <c r="A679" s="95"/>
      <c r="B679" s="95"/>
      <c r="C679" s="4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  <c r="AG679" s="95"/>
      <c r="AH679" s="95"/>
      <c r="AI679" s="95"/>
      <c r="AJ679" s="95"/>
      <c r="AK679" s="95"/>
      <c r="AL679" s="95"/>
      <c r="AM679" s="95"/>
    </row>
    <row r="680" spans="1:39" ht="12.75" customHeight="1" x14ac:dyDescent="0.2">
      <c r="A680" s="95"/>
      <c r="B680" s="95"/>
      <c r="C680" s="4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  <c r="AG680" s="95"/>
      <c r="AH680" s="95"/>
      <c r="AI680" s="95"/>
      <c r="AJ680" s="95"/>
      <c r="AK680" s="95"/>
      <c r="AL680" s="95"/>
      <c r="AM680" s="95"/>
    </row>
    <row r="681" spans="1:39" ht="12.75" customHeight="1" x14ac:dyDescent="0.2">
      <c r="A681" s="95"/>
      <c r="B681" s="95"/>
      <c r="C681" s="4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  <c r="AG681" s="95"/>
      <c r="AH681" s="95"/>
      <c r="AI681" s="95"/>
      <c r="AJ681" s="95"/>
      <c r="AK681" s="95"/>
      <c r="AL681" s="95"/>
      <c r="AM681" s="95"/>
    </row>
    <row r="682" spans="1:39" ht="12.75" customHeight="1" x14ac:dyDescent="0.2">
      <c r="A682" s="95"/>
      <c r="B682" s="95"/>
      <c r="C682" s="4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  <c r="AG682" s="95"/>
      <c r="AH682" s="95"/>
      <c r="AI682" s="95"/>
      <c r="AJ682" s="95"/>
      <c r="AK682" s="95"/>
      <c r="AL682" s="95"/>
      <c r="AM682" s="95"/>
    </row>
    <row r="683" spans="1:39" ht="12.75" customHeight="1" x14ac:dyDescent="0.2">
      <c r="A683" s="95"/>
      <c r="B683" s="95"/>
      <c r="C683" s="4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  <c r="AG683" s="95"/>
      <c r="AH683" s="95"/>
      <c r="AI683" s="95"/>
      <c r="AJ683" s="95"/>
      <c r="AK683" s="95"/>
      <c r="AL683" s="95"/>
      <c r="AM683" s="95"/>
    </row>
    <row r="684" spans="1:39" ht="12.75" customHeight="1" x14ac:dyDescent="0.2">
      <c r="A684" s="95"/>
      <c r="B684" s="95"/>
      <c r="C684" s="4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  <c r="AG684" s="95"/>
      <c r="AH684" s="95"/>
      <c r="AI684" s="95"/>
      <c r="AJ684" s="95"/>
      <c r="AK684" s="95"/>
      <c r="AL684" s="95"/>
      <c r="AM684" s="95"/>
    </row>
    <row r="685" spans="1:39" ht="12.75" customHeight="1" x14ac:dyDescent="0.2">
      <c r="A685" s="95"/>
      <c r="B685" s="95"/>
      <c r="C685" s="4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  <c r="AG685" s="95"/>
      <c r="AH685" s="95"/>
      <c r="AI685" s="95"/>
      <c r="AJ685" s="95"/>
      <c r="AK685" s="95"/>
      <c r="AL685" s="95"/>
      <c r="AM685" s="95"/>
    </row>
    <row r="686" spans="1:39" ht="12.75" customHeight="1" x14ac:dyDescent="0.2">
      <c r="A686" s="95"/>
      <c r="B686" s="95"/>
      <c r="C686" s="4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  <c r="AG686" s="95"/>
      <c r="AH686" s="95"/>
      <c r="AI686" s="95"/>
      <c r="AJ686" s="95"/>
      <c r="AK686" s="95"/>
      <c r="AL686" s="95"/>
      <c r="AM686" s="95"/>
    </row>
    <row r="687" spans="1:39" ht="12.75" customHeight="1" x14ac:dyDescent="0.2">
      <c r="A687" s="95"/>
      <c r="B687" s="95"/>
      <c r="C687" s="4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  <c r="AG687" s="95"/>
      <c r="AH687" s="95"/>
      <c r="AI687" s="95"/>
      <c r="AJ687" s="95"/>
      <c r="AK687" s="95"/>
      <c r="AL687" s="95"/>
      <c r="AM687" s="95"/>
    </row>
    <row r="688" spans="1:39" ht="12.75" customHeight="1" x14ac:dyDescent="0.2">
      <c r="A688" s="95"/>
      <c r="B688" s="95"/>
      <c r="C688" s="4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  <c r="AG688" s="95"/>
      <c r="AH688" s="95"/>
      <c r="AI688" s="95"/>
      <c r="AJ688" s="95"/>
      <c r="AK688" s="95"/>
      <c r="AL688" s="95"/>
      <c r="AM688" s="95"/>
    </row>
    <row r="689" spans="1:39" ht="12.75" customHeight="1" x14ac:dyDescent="0.2">
      <c r="A689" s="95"/>
      <c r="B689" s="95"/>
      <c r="C689" s="4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  <c r="AG689" s="95"/>
      <c r="AH689" s="95"/>
      <c r="AI689" s="95"/>
      <c r="AJ689" s="95"/>
      <c r="AK689" s="95"/>
      <c r="AL689" s="95"/>
      <c r="AM689" s="95"/>
    </row>
    <row r="690" spans="1:39" ht="12.75" customHeight="1" x14ac:dyDescent="0.2">
      <c r="A690" s="95"/>
      <c r="B690" s="95"/>
      <c r="C690" s="4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  <c r="AG690" s="95"/>
      <c r="AH690" s="95"/>
      <c r="AI690" s="95"/>
      <c r="AJ690" s="95"/>
      <c r="AK690" s="95"/>
      <c r="AL690" s="95"/>
      <c r="AM690" s="95"/>
    </row>
    <row r="691" spans="1:39" ht="12.75" customHeight="1" x14ac:dyDescent="0.2">
      <c r="A691" s="95"/>
      <c r="B691" s="95"/>
      <c r="C691" s="4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  <c r="AG691" s="95"/>
      <c r="AH691" s="95"/>
      <c r="AI691" s="95"/>
      <c r="AJ691" s="95"/>
      <c r="AK691" s="95"/>
      <c r="AL691" s="95"/>
      <c r="AM691" s="95"/>
    </row>
    <row r="692" spans="1:39" ht="12.75" customHeight="1" x14ac:dyDescent="0.2">
      <c r="A692" s="95"/>
      <c r="B692" s="95"/>
      <c r="C692" s="4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  <c r="AG692" s="95"/>
      <c r="AH692" s="95"/>
      <c r="AI692" s="95"/>
      <c r="AJ692" s="95"/>
      <c r="AK692" s="95"/>
      <c r="AL692" s="95"/>
      <c r="AM692" s="95"/>
    </row>
    <row r="693" spans="1:39" ht="12.75" customHeight="1" x14ac:dyDescent="0.2">
      <c r="A693" s="95"/>
      <c r="B693" s="95"/>
      <c r="C693" s="4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  <c r="AG693" s="95"/>
      <c r="AH693" s="95"/>
      <c r="AI693" s="95"/>
      <c r="AJ693" s="95"/>
      <c r="AK693" s="95"/>
      <c r="AL693" s="95"/>
      <c r="AM693" s="95"/>
    </row>
    <row r="694" spans="1:39" ht="12.75" customHeight="1" x14ac:dyDescent="0.2">
      <c r="A694" s="95"/>
      <c r="B694" s="95"/>
      <c r="C694" s="4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  <c r="AG694" s="95"/>
      <c r="AH694" s="95"/>
      <c r="AI694" s="95"/>
      <c r="AJ694" s="95"/>
      <c r="AK694" s="95"/>
      <c r="AL694" s="95"/>
      <c r="AM694" s="95"/>
    </row>
    <row r="695" spans="1:39" ht="12.75" customHeight="1" x14ac:dyDescent="0.2">
      <c r="A695" s="95"/>
      <c r="B695" s="95"/>
      <c r="C695" s="4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  <c r="AG695" s="95"/>
      <c r="AH695" s="95"/>
      <c r="AI695" s="95"/>
      <c r="AJ695" s="95"/>
      <c r="AK695" s="95"/>
      <c r="AL695" s="95"/>
      <c r="AM695" s="95"/>
    </row>
    <row r="696" spans="1:39" ht="12.75" customHeight="1" x14ac:dyDescent="0.2">
      <c r="A696" s="95"/>
      <c r="B696" s="95"/>
      <c r="C696" s="4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  <c r="AG696" s="95"/>
      <c r="AH696" s="95"/>
      <c r="AI696" s="95"/>
      <c r="AJ696" s="95"/>
      <c r="AK696" s="95"/>
      <c r="AL696" s="95"/>
      <c r="AM696" s="95"/>
    </row>
    <row r="697" spans="1:39" ht="12.75" customHeight="1" x14ac:dyDescent="0.2">
      <c r="A697" s="95"/>
      <c r="B697" s="95"/>
      <c r="C697" s="4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  <c r="AG697" s="95"/>
      <c r="AH697" s="95"/>
      <c r="AI697" s="95"/>
      <c r="AJ697" s="95"/>
      <c r="AK697" s="95"/>
      <c r="AL697" s="95"/>
      <c r="AM697" s="95"/>
    </row>
    <row r="698" spans="1:39" ht="12.75" customHeight="1" x14ac:dyDescent="0.2">
      <c r="A698" s="95"/>
      <c r="B698" s="95"/>
      <c r="C698" s="4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  <c r="AG698" s="95"/>
      <c r="AH698" s="95"/>
      <c r="AI698" s="95"/>
      <c r="AJ698" s="95"/>
      <c r="AK698" s="95"/>
      <c r="AL698" s="95"/>
      <c r="AM698" s="95"/>
    </row>
    <row r="699" spans="1:39" ht="12.75" customHeight="1" x14ac:dyDescent="0.2">
      <c r="A699" s="95"/>
      <c r="B699" s="95"/>
      <c r="C699" s="4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  <c r="AG699" s="95"/>
      <c r="AH699" s="95"/>
      <c r="AI699" s="95"/>
      <c r="AJ699" s="95"/>
      <c r="AK699" s="95"/>
      <c r="AL699" s="95"/>
      <c r="AM699" s="95"/>
    </row>
    <row r="700" spans="1:39" ht="12.75" customHeight="1" x14ac:dyDescent="0.2">
      <c r="A700" s="95"/>
      <c r="B700" s="95"/>
      <c r="C700" s="4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  <c r="AG700" s="95"/>
      <c r="AH700" s="95"/>
      <c r="AI700" s="95"/>
      <c r="AJ700" s="95"/>
      <c r="AK700" s="95"/>
      <c r="AL700" s="95"/>
      <c r="AM700" s="95"/>
    </row>
    <row r="701" spans="1:39" ht="12.75" customHeight="1" x14ac:dyDescent="0.2">
      <c r="A701" s="95"/>
      <c r="B701" s="95"/>
      <c r="C701" s="4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  <c r="AG701" s="95"/>
      <c r="AH701" s="95"/>
      <c r="AI701" s="95"/>
      <c r="AJ701" s="95"/>
      <c r="AK701" s="95"/>
      <c r="AL701" s="95"/>
      <c r="AM701" s="95"/>
    </row>
    <row r="702" spans="1:39" ht="12.75" customHeight="1" x14ac:dyDescent="0.2">
      <c r="A702" s="95"/>
      <c r="B702" s="95"/>
      <c r="C702" s="4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  <c r="AG702" s="95"/>
      <c r="AH702" s="95"/>
      <c r="AI702" s="95"/>
      <c r="AJ702" s="95"/>
      <c r="AK702" s="95"/>
      <c r="AL702" s="95"/>
      <c r="AM702" s="95"/>
    </row>
    <row r="703" spans="1:39" ht="12.75" customHeight="1" x14ac:dyDescent="0.2">
      <c r="A703" s="95"/>
      <c r="B703" s="95"/>
      <c r="C703" s="4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  <c r="AG703" s="95"/>
      <c r="AH703" s="95"/>
      <c r="AI703" s="95"/>
      <c r="AJ703" s="95"/>
      <c r="AK703" s="95"/>
      <c r="AL703" s="95"/>
      <c r="AM703" s="95"/>
    </row>
    <row r="704" spans="1:39" ht="12.75" customHeight="1" x14ac:dyDescent="0.2">
      <c r="A704" s="95"/>
      <c r="B704" s="95"/>
      <c r="C704" s="4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  <c r="AG704" s="95"/>
      <c r="AH704" s="95"/>
      <c r="AI704" s="95"/>
      <c r="AJ704" s="95"/>
      <c r="AK704" s="95"/>
      <c r="AL704" s="95"/>
      <c r="AM704" s="95"/>
    </row>
    <row r="705" spans="1:39" ht="12.75" customHeight="1" x14ac:dyDescent="0.2">
      <c r="A705" s="95"/>
      <c r="B705" s="95"/>
      <c r="C705" s="4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  <c r="AG705" s="95"/>
      <c r="AH705" s="95"/>
      <c r="AI705" s="95"/>
      <c r="AJ705" s="95"/>
      <c r="AK705" s="95"/>
      <c r="AL705" s="95"/>
      <c r="AM705" s="95"/>
    </row>
    <row r="706" spans="1:39" ht="12.75" customHeight="1" x14ac:dyDescent="0.2">
      <c r="A706" s="95"/>
      <c r="B706" s="95"/>
      <c r="C706" s="4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  <c r="AG706" s="95"/>
      <c r="AH706" s="95"/>
      <c r="AI706" s="95"/>
      <c r="AJ706" s="95"/>
      <c r="AK706" s="95"/>
      <c r="AL706" s="95"/>
      <c r="AM706" s="95"/>
    </row>
    <row r="707" spans="1:39" ht="12.75" customHeight="1" x14ac:dyDescent="0.2">
      <c r="A707" s="95"/>
      <c r="B707" s="95"/>
      <c r="C707" s="4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  <c r="AG707" s="95"/>
      <c r="AH707" s="95"/>
      <c r="AI707" s="95"/>
      <c r="AJ707" s="95"/>
      <c r="AK707" s="95"/>
      <c r="AL707" s="95"/>
      <c r="AM707" s="95"/>
    </row>
    <row r="708" spans="1:39" ht="12.75" customHeight="1" x14ac:dyDescent="0.2">
      <c r="A708" s="95"/>
      <c r="B708" s="95"/>
      <c r="C708" s="4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  <c r="AG708" s="95"/>
      <c r="AH708" s="95"/>
      <c r="AI708" s="95"/>
      <c r="AJ708" s="95"/>
      <c r="AK708" s="95"/>
      <c r="AL708" s="95"/>
      <c r="AM708" s="95"/>
    </row>
    <row r="709" spans="1:39" ht="12.75" customHeight="1" x14ac:dyDescent="0.2">
      <c r="A709" s="95"/>
      <c r="B709" s="95"/>
      <c r="C709" s="4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  <c r="AG709" s="95"/>
      <c r="AH709" s="95"/>
      <c r="AI709" s="95"/>
      <c r="AJ709" s="95"/>
      <c r="AK709" s="95"/>
      <c r="AL709" s="95"/>
      <c r="AM709" s="95"/>
    </row>
    <row r="710" spans="1:39" ht="12.75" customHeight="1" x14ac:dyDescent="0.2">
      <c r="A710" s="95"/>
      <c r="B710" s="95"/>
      <c r="C710" s="4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  <c r="AG710" s="95"/>
      <c r="AH710" s="95"/>
      <c r="AI710" s="95"/>
      <c r="AJ710" s="95"/>
      <c r="AK710" s="95"/>
      <c r="AL710" s="95"/>
      <c r="AM710" s="95"/>
    </row>
    <row r="711" spans="1:39" ht="12.75" customHeight="1" x14ac:dyDescent="0.2">
      <c r="A711" s="95"/>
      <c r="B711" s="95"/>
      <c r="C711" s="4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  <c r="AG711" s="95"/>
      <c r="AH711" s="95"/>
      <c r="AI711" s="95"/>
      <c r="AJ711" s="95"/>
      <c r="AK711" s="95"/>
      <c r="AL711" s="95"/>
      <c r="AM711" s="95"/>
    </row>
    <row r="712" spans="1:39" ht="12.75" customHeight="1" x14ac:dyDescent="0.2">
      <c r="A712" s="95"/>
      <c r="B712" s="95"/>
      <c r="C712" s="4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  <c r="AG712" s="95"/>
      <c r="AH712" s="95"/>
      <c r="AI712" s="95"/>
      <c r="AJ712" s="95"/>
      <c r="AK712" s="95"/>
      <c r="AL712" s="95"/>
      <c r="AM712" s="95"/>
    </row>
    <row r="713" spans="1:39" ht="12.75" customHeight="1" x14ac:dyDescent="0.2">
      <c r="A713" s="95"/>
      <c r="B713" s="95"/>
      <c r="C713" s="4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  <c r="AG713" s="95"/>
      <c r="AH713" s="95"/>
      <c r="AI713" s="95"/>
      <c r="AJ713" s="95"/>
      <c r="AK713" s="95"/>
      <c r="AL713" s="95"/>
      <c r="AM713" s="95"/>
    </row>
    <row r="714" spans="1:39" ht="12.75" customHeight="1" x14ac:dyDescent="0.2">
      <c r="A714" s="95"/>
      <c r="B714" s="95"/>
      <c r="C714" s="4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  <c r="AG714" s="95"/>
      <c r="AH714" s="95"/>
      <c r="AI714" s="95"/>
      <c r="AJ714" s="95"/>
      <c r="AK714" s="95"/>
      <c r="AL714" s="95"/>
      <c r="AM714" s="95"/>
    </row>
    <row r="715" spans="1:39" ht="12.75" customHeight="1" x14ac:dyDescent="0.2">
      <c r="A715" s="95"/>
      <c r="B715" s="95"/>
      <c r="C715" s="4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  <c r="AG715" s="95"/>
      <c r="AH715" s="95"/>
      <c r="AI715" s="95"/>
      <c r="AJ715" s="95"/>
      <c r="AK715" s="95"/>
      <c r="AL715" s="95"/>
      <c r="AM715" s="95"/>
    </row>
    <row r="716" spans="1:39" ht="12.75" customHeight="1" x14ac:dyDescent="0.2">
      <c r="A716" s="95"/>
      <c r="B716" s="95"/>
      <c r="C716" s="4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  <c r="AG716" s="95"/>
      <c r="AH716" s="95"/>
      <c r="AI716" s="95"/>
      <c r="AJ716" s="95"/>
      <c r="AK716" s="95"/>
      <c r="AL716" s="95"/>
      <c r="AM716" s="95"/>
    </row>
    <row r="717" spans="1:39" ht="12.75" customHeight="1" x14ac:dyDescent="0.2">
      <c r="A717" s="95"/>
      <c r="B717" s="95"/>
      <c r="C717" s="4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  <c r="AG717" s="95"/>
      <c r="AH717" s="95"/>
      <c r="AI717" s="95"/>
      <c r="AJ717" s="95"/>
      <c r="AK717" s="95"/>
      <c r="AL717" s="95"/>
      <c r="AM717" s="95"/>
    </row>
    <row r="718" spans="1:39" ht="12.75" customHeight="1" x14ac:dyDescent="0.2">
      <c r="A718" s="95"/>
      <c r="B718" s="95"/>
      <c r="C718" s="4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  <c r="AG718" s="95"/>
      <c r="AH718" s="95"/>
      <c r="AI718" s="95"/>
      <c r="AJ718" s="95"/>
      <c r="AK718" s="95"/>
      <c r="AL718" s="95"/>
      <c r="AM718" s="95"/>
    </row>
    <row r="719" spans="1:39" ht="12.75" customHeight="1" x14ac:dyDescent="0.2">
      <c r="A719" s="95"/>
      <c r="B719" s="95"/>
      <c r="C719" s="4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  <c r="AG719" s="95"/>
      <c r="AH719" s="95"/>
      <c r="AI719" s="95"/>
      <c r="AJ719" s="95"/>
      <c r="AK719" s="95"/>
      <c r="AL719" s="95"/>
      <c r="AM719" s="95"/>
    </row>
    <row r="720" spans="1:39" ht="12.75" customHeight="1" x14ac:dyDescent="0.2">
      <c r="A720" s="95"/>
      <c r="B720" s="95"/>
      <c r="C720" s="4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  <c r="AG720" s="95"/>
      <c r="AH720" s="95"/>
      <c r="AI720" s="95"/>
      <c r="AJ720" s="95"/>
      <c r="AK720" s="95"/>
      <c r="AL720" s="95"/>
      <c r="AM720" s="95"/>
    </row>
    <row r="721" spans="1:39" ht="12.75" customHeight="1" x14ac:dyDescent="0.2">
      <c r="A721" s="95"/>
      <c r="B721" s="95"/>
      <c r="C721" s="4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  <c r="AG721" s="95"/>
      <c r="AH721" s="95"/>
      <c r="AI721" s="95"/>
      <c r="AJ721" s="95"/>
      <c r="AK721" s="95"/>
      <c r="AL721" s="95"/>
      <c r="AM721" s="95"/>
    </row>
    <row r="722" spans="1:39" ht="12.75" customHeight="1" x14ac:dyDescent="0.2">
      <c r="A722" s="95"/>
      <c r="B722" s="95"/>
      <c r="C722" s="4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  <c r="AG722" s="95"/>
      <c r="AH722" s="95"/>
      <c r="AI722" s="95"/>
      <c r="AJ722" s="95"/>
      <c r="AK722" s="95"/>
      <c r="AL722" s="95"/>
      <c r="AM722" s="95"/>
    </row>
    <row r="723" spans="1:39" ht="12.75" customHeight="1" x14ac:dyDescent="0.2">
      <c r="A723" s="95"/>
      <c r="B723" s="95"/>
      <c r="C723" s="4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  <c r="AG723" s="95"/>
      <c r="AH723" s="95"/>
      <c r="AI723" s="95"/>
      <c r="AJ723" s="95"/>
      <c r="AK723" s="95"/>
      <c r="AL723" s="95"/>
      <c r="AM723" s="95"/>
    </row>
    <row r="724" spans="1:39" ht="12.75" customHeight="1" x14ac:dyDescent="0.2">
      <c r="A724" s="95"/>
      <c r="B724" s="95"/>
      <c r="C724" s="4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  <c r="AG724" s="95"/>
      <c r="AH724" s="95"/>
      <c r="AI724" s="95"/>
      <c r="AJ724" s="95"/>
      <c r="AK724" s="95"/>
      <c r="AL724" s="95"/>
      <c r="AM724" s="95"/>
    </row>
    <row r="725" spans="1:39" ht="12.75" customHeight="1" x14ac:dyDescent="0.2">
      <c r="A725" s="95"/>
      <c r="B725" s="95"/>
      <c r="C725" s="4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  <c r="AG725" s="95"/>
      <c r="AH725" s="95"/>
      <c r="AI725" s="95"/>
      <c r="AJ725" s="95"/>
      <c r="AK725" s="95"/>
      <c r="AL725" s="95"/>
      <c r="AM725" s="95"/>
    </row>
    <row r="726" spans="1:39" ht="12.75" customHeight="1" x14ac:dyDescent="0.2">
      <c r="A726" s="95"/>
      <c r="B726" s="95"/>
      <c r="C726" s="4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  <c r="AG726" s="95"/>
      <c r="AH726" s="95"/>
      <c r="AI726" s="95"/>
      <c r="AJ726" s="95"/>
      <c r="AK726" s="95"/>
      <c r="AL726" s="95"/>
      <c r="AM726" s="95"/>
    </row>
    <row r="727" spans="1:39" ht="12.75" customHeight="1" x14ac:dyDescent="0.2">
      <c r="A727" s="95"/>
      <c r="B727" s="95"/>
      <c r="C727" s="4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  <c r="AG727" s="95"/>
      <c r="AH727" s="95"/>
      <c r="AI727" s="95"/>
      <c r="AJ727" s="95"/>
      <c r="AK727" s="95"/>
      <c r="AL727" s="95"/>
      <c r="AM727" s="95"/>
    </row>
    <row r="728" spans="1:39" ht="12.75" customHeight="1" x14ac:dyDescent="0.2">
      <c r="A728" s="95"/>
      <c r="B728" s="95"/>
      <c r="C728" s="4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  <c r="AG728" s="95"/>
      <c r="AH728" s="95"/>
      <c r="AI728" s="95"/>
      <c r="AJ728" s="95"/>
      <c r="AK728" s="95"/>
      <c r="AL728" s="95"/>
      <c r="AM728" s="95"/>
    </row>
    <row r="729" spans="1:39" ht="12.75" customHeight="1" x14ac:dyDescent="0.2">
      <c r="A729" s="95"/>
      <c r="B729" s="95"/>
      <c r="C729" s="4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  <c r="AG729" s="95"/>
      <c r="AH729" s="95"/>
      <c r="AI729" s="95"/>
      <c r="AJ729" s="95"/>
      <c r="AK729" s="95"/>
      <c r="AL729" s="95"/>
      <c r="AM729" s="95"/>
    </row>
    <row r="730" spans="1:39" ht="12.75" customHeight="1" x14ac:dyDescent="0.2">
      <c r="A730" s="95"/>
      <c r="B730" s="95"/>
      <c r="C730" s="4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  <c r="AG730" s="95"/>
      <c r="AH730" s="95"/>
      <c r="AI730" s="95"/>
      <c r="AJ730" s="95"/>
      <c r="AK730" s="95"/>
      <c r="AL730" s="95"/>
      <c r="AM730" s="95"/>
    </row>
    <row r="731" spans="1:39" ht="12.75" customHeight="1" x14ac:dyDescent="0.2">
      <c r="A731" s="95"/>
      <c r="B731" s="95"/>
      <c r="C731" s="4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  <c r="AG731" s="95"/>
      <c r="AH731" s="95"/>
      <c r="AI731" s="95"/>
      <c r="AJ731" s="95"/>
      <c r="AK731" s="95"/>
      <c r="AL731" s="95"/>
      <c r="AM731" s="95"/>
    </row>
    <row r="732" spans="1:39" ht="12.75" customHeight="1" x14ac:dyDescent="0.2">
      <c r="A732" s="95"/>
      <c r="B732" s="95"/>
      <c r="C732" s="4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  <c r="AG732" s="95"/>
      <c r="AH732" s="95"/>
      <c r="AI732" s="95"/>
      <c r="AJ732" s="95"/>
      <c r="AK732" s="95"/>
      <c r="AL732" s="95"/>
      <c r="AM732" s="95"/>
    </row>
    <row r="733" spans="1:39" ht="12.75" customHeight="1" x14ac:dyDescent="0.2">
      <c r="A733" s="95"/>
      <c r="B733" s="95"/>
      <c r="C733" s="4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  <c r="AG733" s="95"/>
      <c r="AH733" s="95"/>
      <c r="AI733" s="95"/>
      <c r="AJ733" s="95"/>
      <c r="AK733" s="95"/>
      <c r="AL733" s="95"/>
      <c r="AM733" s="95"/>
    </row>
    <row r="734" spans="1:39" ht="12.75" customHeight="1" x14ac:dyDescent="0.2">
      <c r="A734" s="95"/>
      <c r="B734" s="95"/>
      <c r="C734" s="4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  <c r="AG734" s="95"/>
      <c r="AH734" s="95"/>
      <c r="AI734" s="95"/>
      <c r="AJ734" s="95"/>
      <c r="AK734" s="95"/>
      <c r="AL734" s="95"/>
      <c r="AM734" s="95"/>
    </row>
    <row r="735" spans="1:39" ht="12.75" customHeight="1" x14ac:dyDescent="0.2">
      <c r="A735" s="95"/>
      <c r="B735" s="95"/>
      <c r="C735" s="4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  <c r="AG735" s="95"/>
      <c r="AH735" s="95"/>
      <c r="AI735" s="95"/>
      <c r="AJ735" s="95"/>
      <c r="AK735" s="95"/>
      <c r="AL735" s="95"/>
      <c r="AM735" s="95"/>
    </row>
    <row r="736" spans="1:39" ht="12.75" customHeight="1" x14ac:dyDescent="0.2">
      <c r="A736" s="95"/>
      <c r="B736" s="95"/>
      <c r="C736" s="4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  <c r="AG736" s="95"/>
      <c r="AH736" s="95"/>
      <c r="AI736" s="95"/>
      <c r="AJ736" s="95"/>
      <c r="AK736" s="95"/>
      <c r="AL736" s="95"/>
      <c r="AM736" s="95"/>
    </row>
    <row r="737" spans="1:39" ht="12.75" customHeight="1" x14ac:dyDescent="0.2">
      <c r="A737" s="95"/>
      <c r="B737" s="95"/>
      <c r="C737" s="4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  <c r="AG737" s="95"/>
      <c r="AH737" s="95"/>
      <c r="AI737" s="95"/>
      <c r="AJ737" s="95"/>
      <c r="AK737" s="95"/>
      <c r="AL737" s="95"/>
      <c r="AM737" s="95"/>
    </row>
    <row r="738" spans="1:39" ht="12.75" customHeight="1" x14ac:dyDescent="0.2">
      <c r="A738" s="95"/>
      <c r="B738" s="95"/>
      <c r="C738" s="4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  <c r="AG738" s="95"/>
      <c r="AH738" s="95"/>
      <c r="AI738" s="95"/>
      <c r="AJ738" s="95"/>
      <c r="AK738" s="95"/>
      <c r="AL738" s="95"/>
      <c r="AM738" s="95"/>
    </row>
    <row r="739" spans="1:39" ht="12.75" customHeight="1" x14ac:dyDescent="0.2">
      <c r="A739" s="95"/>
      <c r="B739" s="95"/>
      <c r="C739" s="4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  <c r="AG739" s="95"/>
      <c r="AH739" s="95"/>
      <c r="AI739" s="95"/>
      <c r="AJ739" s="95"/>
      <c r="AK739" s="95"/>
      <c r="AL739" s="95"/>
      <c r="AM739" s="95"/>
    </row>
    <row r="740" spans="1:39" ht="12.75" customHeight="1" x14ac:dyDescent="0.2">
      <c r="A740" s="95"/>
      <c r="B740" s="95"/>
      <c r="C740" s="4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  <c r="AG740" s="95"/>
      <c r="AH740" s="95"/>
      <c r="AI740" s="95"/>
      <c r="AJ740" s="95"/>
      <c r="AK740" s="95"/>
      <c r="AL740" s="95"/>
      <c r="AM740" s="95"/>
    </row>
    <row r="741" spans="1:39" ht="12.75" customHeight="1" x14ac:dyDescent="0.2">
      <c r="A741" s="95"/>
      <c r="B741" s="95"/>
      <c r="C741" s="4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  <c r="AG741" s="95"/>
      <c r="AH741" s="95"/>
      <c r="AI741" s="95"/>
      <c r="AJ741" s="95"/>
      <c r="AK741" s="95"/>
      <c r="AL741" s="95"/>
      <c r="AM741" s="95"/>
    </row>
    <row r="742" spans="1:39" ht="12.75" customHeight="1" x14ac:dyDescent="0.2">
      <c r="A742" s="95"/>
      <c r="B742" s="95"/>
      <c r="C742" s="4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  <c r="AG742" s="95"/>
      <c r="AH742" s="95"/>
      <c r="AI742" s="95"/>
      <c r="AJ742" s="95"/>
      <c r="AK742" s="95"/>
      <c r="AL742" s="95"/>
      <c r="AM742" s="95"/>
    </row>
    <row r="743" spans="1:39" ht="12.75" customHeight="1" x14ac:dyDescent="0.2">
      <c r="A743" s="95"/>
      <c r="B743" s="95"/>
      <c r="C743" s="4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  <c r="AG743" s="95"/>
      <c r="AH743" s="95"/>
      <c r="AI743" s="95"/>
      <c r="AJ743" s="95"/>
      <c r="AK743" s="95"/>
      <c r="AL743" s="95"/>
      <c r="AM743" s="95"/>
    </row>
    <row r="744" spans="1:39" ht="12.75" customHeight="1" x14ac:dyDescent="0.2">
      <c r="A744" s="95"/>
      <c r="B744" s="95"/>
      <c r="C744" s="4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</row>
    <row r="745" spans="1:39" ht="12.75" customHeight="1" x14ac:dyDescent="0.2">
      <c r="A745" s="95"/>
      <c r="B745" s="95"/>
      <c r="C745" s="4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  <c r="AG745" s="95"/>
      <c r="AH745" s="95"/>
      <c r="AI745" s="95"/>
      <c r="AJ745" s="95"/>
      <c r="AK745" s="95"/>
      <c r="AL745" s="95"/>
      <c r="AM745" s="95"/>
    </row>
    <row r="746" spans="1:39" ht="12.75" customHeight="1" x14ac:dyDescent="0.2">
      <c r="A746" s="95"/>
      <c r="B746" s="95"/>
      <c r="C746" s="4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  <c r="AG746" s="95"/>
      <c r="AH746" s="95"/>
      <c r="AI746" s="95"/>
      <c r="AJ746" s="95"/>
      <c r="AK746" s="95"/>
      <c r="AL746" s="95"/>
      <c r="AM746" s="95"/>
    </row>
    <row r="747" spans="1:39" ht="12.75" customHeight="1" x14ac:dyDescent="0.2">
      <c r="A747" s="95"/>
      <c r="B747" s="95"/>
      <c r="C747" s="4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  <c r="AG747" s="95"/>
      <c r="AH747" s="95"/>
      <c r="AI747" s="95"/>
      <c r="AJ747" s="95"/>
      <c r="AK747" s="95"/>
      <c r="AL747" s="95"/>
      <c r="AM747" s="95"/>
    </row>
    <row r="748" spans="1:39" ht="12.75" customHeight="1" x14ac:dyDescent="0.2">
      <c r="A748" s="95"/>
      <c r="B748" s="95"/>
      <c r="C748" s="4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  <c r="AG748" s="95"/>
      <c r="AH748" s="95"/>
      <c r="AI748" s="95"/>
      <c r="AJ748" s="95"/>
      <c r="AK748" s="95"/>
      <c r="AL748" s="95"/>
      <c r="AM748" s="95"/>
    </row>
    <row r="749" spans="1:39" ht="12.75" customHeight="1" x14ac:dyDescent="0.2">
      <c r="A749" s="95"/>
      <c r="B749" s="95"/>
      <c r="C749" s="4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  <c r="AG749" s="95"/>
      <c r="AH749" s="95"/>
      <c r="AI749" s="95"/>
      <c r="AJ749" s="95"/>
      <c r="AK749" s="95"/>
      <c r="AL749" s="95"/>
      <c r="AM749" s="95"/>
    </row>
    <row r="750" spans="1:39" ht="12.75" customHeight="1" x14ac:dyDescent="0.2">
      <c r="A750" s="95"/>
      <c r="B750" s="95"/>
      <c r="C750" s="4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  <c r="AG750" s="95"/>
      <c r="AH750" s="95"/>
      <c r="AI750" s="95"/>
      <c r="AJ750" s="95"/>
      <c r="AK750" s="95"/>
      <c r="AL750" s="95"/>
      <c r="AM750" s="95"/>
    </row>
    <row r="751" spans="1:39" ht="12.75" customHeight="1" x14ac:dyDescent="0.2">
      <c r="A751" s="95"/>
      <c r="B751" s="95"/>
      <c r="C751" s="4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  <c r="AG751" s="95"/>
      <c r="AH751" s="95"/>
      <c r="AI751" s="95"/>
      <c r="AJ751" s="95"/>
      <c r="AK751" s="95"/>
      <c r="AL751" s="95"/>
      <c r="AM751" s="95"/>
    </row>
    <row r="752" spans="1:39" ht="12.75" customHeight="1" x14ac:dyDescent="0.2">
      <c r="A752" s="95"/>
      <c r="B752" s="95"/>
      <c r="C752" s="4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  <c r="AG752" s="95"/>
      <c r="AH752" s="95"/>
      <c r="AI752" s="95"/>
      <c r="AJ752" s="95"/>
      <c r="AK752" s="95"/>
      <c r="AL752" s="95"/>
      <c r="AM752" s="95"/>
    </row>
    <row r="753" spans="1:39" ht="12.75" customHeight="1" x14ac:dyDescent="0.2">
      <c r="A753" s="95"/>
      <c r="B753" s="95"/>
      <c r="C753" s="4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  <c r="AG753" s="95"/>
      <c r="AH753" s="95"/>
      <c r="AI753" s="95"/>
      <c r="AJ753" s="95"/>
      <c r="AK753" s="95"/>
      <c r="AL753" s="95"/>
      <c r="AM753" s="95"/>
    </row>
    <row r="754" spans="1:39" ht="12.75" customHeight="1" x14ac:dyDescent="0.2">
      <c r="A754" s="95"/>
      <c r="B754" s="95"/>
      <c r="C754" s="4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  <c r="AG754" s="95"/>
      <c r="AH754" s="95"/>
      <c r="AI754" s="95"/>
      <c r="AJ754" s="95"/>
      <c r="AK754" s="95"/>
      <c r="AL754" s="95"/>
      <c r="AM754" s="95"/>
    </row>
    <row r="755" spans="1:39" ht="12.75" customHeight="1" x14ac:dyDescent="0.2">
      <c r="A755" s="95"/>
      <c r="B755" s="95"/>
      <c r="C755" s="4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  <c r="AG755" s="95"/>
      <c r="AH755" s="95"/>
      <c r="AI755" s="95"/>
      <c r="AJ755" s="95"/>
      <c r="AK755" s="95"/>
      <c r="AL755" s="95"/>
      <c r="AM755" s="95"/>
    </row>
    <row r="756" spans="1:39" ht="12.75" customHeight="1" x14ac:dyDescent="0.2">
      <c r="A756" s="95"/>
      <c r="B756" s="95"/>
      <c r="C756" s="4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  <c r="AG756" s="95"/>
      <c r="AH756" s="95"/>
      <c r="AI756" s="95"/>
      <c r="AJ756" s="95"/>
      <c r="AK756" s="95"/>
      <c r="AL756" s="95"/>
      <c r="AM756" s="95"/>
    </row>
    <row r="757" spans="1:39" ht="12.75" customHeight="1" x14ac:dyDescent="0.2">
      <c r="A757" s="95"/>
      <c r="B757" s="95"/>
      <c r="C757" s="4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  <c r="AG757" s="95"/>
      <c r="AH757" s="95"/>
      <c r="AI757" s="95"/>
      <c r="AJ757" s="95"/>
      <c r="AK757" s="95"/>
      <c r="AL757" s="95"/>
      <c r="AM757" s="95"/>
    </row>
    <row r="758" spans="1:39" ht="12.75" customHeight="1" x14ac:dyDescent="0.2">
      <c r="A758" s="95"/>
      <c r="B758" s="95"/>
      <c r="C758" s="4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  <c r="AG758" s="95"/>
      <c r="AH758" s="95"/>
      <c r="AI758" s="95"/>
      <c r="AJ758" s="95"/>
      <c r="AK758" s="95"/>
      <c r="AL758" s="95"/>
      <c r="AM758" s="95"/>
    </row>
    <row r="759" spans="1:39" ht="12.75" customHeight="1" x14ac:dyDescent="0.2">
      <c r="A759" s="95"/>
      <c r="B759" s="95"/>
      <c r="C759" s="4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  <c r="AG759" s="95"/>
      <c r="AH759" s="95"/>
      <c r="AI759" s="95"/>
      <c r="AJ759" s="95"/>
      <c r="AK759" s="95"/>
      <c r="AL759" s="95"/>
      <c r="AM759" s="95"/>
    </row>
    <row r="760" spans="1:39" ht="12.75" customHeight="1" x14ac:dyDescent="0.2">
      <c r="A760" s="95"/>
      <c r="B760" s="95"/>
      <c r="C760" s="4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  <c r="AG760" s="95"/>
      <c r="AH760" s="95"/>
      <c r="AI760" s="95"/>
      <c r="AJ760" s="95"/>
      <c r="AK760" s="95"/>
      <c r="AL760" s="95"/>
      <c r="AM760" s="95"/>
    </row>
    <row r="761" spans="1:39" ht="12.75" customHeight="1" x14ac:dyDescent="0.2">
      <c r="A761" s="95"/>
      <c r="B761" s="95"/>
      <c r="C761" s="4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  <c r="AG761" s="95"/>
      <c r="AH761" s="95"/>
      <c r="AI761" s="95"/>
      <c r="AJ761" s="95"/>
      <c r="AK761" s="95"/>
      <c r="AL761" s="95"/>
      <c r="AM761" s="95"/>
    </row>
    <row r="762" spans="1:39" ht="12.75" customHeight="1" x14ac:dyDescent="0.2">
      <c r="A762" s="95"/>
      <c r="B762" s="95"/>
      <c r="C762" s="4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  <c r="AG762" s="95"/>
      <c r="AH762" s="95"/>
      <c r="AI762" s="95"/>
      <c r="AJ762" s="95"/>
      <c r="AK762" s="95"/>
      <c r="AL762" s="95"/>
      <c r="AM762" s="95"/>
    </row>
    <row r="763" spans="1:39" ht="12.75" customHeight="1" x14ac:dyDescent="0.2">
      <c r="A763" s="95"/>
      <c r="B763" s="95"/>
      <c r="C763" s="4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  <c r="AG763" s="95"/>
      <c r="AH763" s="95"/>
      <c r="AI763" s="95"/>
      <c r="AJ763" s="95"/>
      <c r="AK763" s="95"/>
      <c r="AL763" s="95"/>
      <c r="AM763" s="95"/>
    </row>
    <row r="764" spans="1:39" ht="12.75" customHeight="1" x14ac:dyDescent="0.2">
      <c r="A764" s="95"/>
      <c r="B764" s="95"/>
      <c r="C764" s="4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  <c r="AG764" s="95"/>
      <c r="AH764" s="95"/>
      <c r="AI764" s="95"/>
      <c r="AJ764" s="95"/>
      <c r="AK764" s="95"/>
      <c r="AL764" s="95"/>
      <c r="AM764" s="95"/>
    </row>
    <row r="765" spans="1:39" ht="12.75" customHeight="1" x14ac:dyDescent="0.2">
      <c r="A765" s="95"/>
      <c r="B765" s="95"/>
      <c r="C765" s="4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  <c r="AG765" s="95"/>
      <c r="AH765" s="95"/>
      <c r="AI765" s="95"/>
      <c r="AJ765" s="95"/>
      <c r="AK765" s="95"/>
      <c r="AL765" s="95"/>
      <c r="AM765" s="95"/>
    </row>
    <row r="766" spans="1:39" ht="12.75" customHeight="1" x14ac:dyDescent="0.2">
      <c r="A766" s="95"/>
      <c r="B766" s="95"/>
      <c r="C766" s="4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  <c r="AG766" s="95"/>
      <c r="AH766" s="95"/>
      <c r="AI766" s="95"/>
      <c r="AJ766" s="95"/>
      <c r="AK766" s="95"/>
      <c r="AL766" s="95"/>
      <c r="AM766" s="95"/>
    </row>
    <row r="767" spans="1:39" ht="12.75" customHeight="1" x14ac:dyDescent="0.2">
      <c r="A767" s="95"/>
      <c r="B767" s="95"/>
      <c r="C767" s="4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  <c r="AG767" s="95"/>
      <c r="AH767" s="95"/>
      <c r="AI767" s="95"/>
      <c r="AJ767" s="95"/>
      <c r="AK767" s="95"/>
      <c r="AL767" s="95"/>
      <c r="AM767" s="95"/>
    </row>
    <row r="768" spans="1:39" ht="12.75" customHeight="1" x14ac:dyDescent="0.2">
      <c r="A768" s="95"/>
      <c r="B768" s="95"/>
      <c r="C768" s="4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  <c r="AG768" s="95"/>
      <c r="AH768" s="95"/>
      <c r="AI768" s="95"/>
      <c r="AJ768" s="95"/>
      <c r="AK768" s="95"/>
      <c r="AL768" s="95"/>
      <c r="AM768" s="95"/>
    </row>
    <row r="769" spans="1:39" ht="12.75" customHeight="1" x14ac:dyDescent="0.2">
      <c r="A769" s="95"/>
      <c r="B769" s="95"/>
      <c r="C769" s="4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  <c r="AG769" s="95"/>
      <c r="AH769" s="95"/>
      <c r="AI769" s="95"/>
      <c r="AJ769" s="95"/>
      <c r="AK769" s="95"/>
      <c r="AL769" s="95"/>
      <c r="AM769" s="95"/>
    </row>
    <row r="770" spans="1:39" ht="12.75" customHeight="1" x14ac:dyDescent="0.2">
      <c r="A770" s="95"/>
      <c r="B770" s="95"/>
      <c r="C770" s="4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  <c r="AG770" s="95"/>
      <c r="AH770" s="95"/>
      <c r="AI770" s="95"/>
      <c r="AJ770" s="95"/>
      <c r="AK770" s="95"/>
      <c r="AL770" s="95"/>
      <c r="AM770" s="95"/>
    </row>
    <row r="771" spans="1:39" ht="12.75" customHeight="1" x14ac:dyDescent="0.2">
      <c r="A771" s="95"/>
      <c r="B771" s="95"/>
      <c r="C771" s="4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  <c r="AG771" s="95"/>
      <c r="AH771" s="95"/>
      <c r="AI771" s="95"/>
      <c r="AJ771" s="95"/>
      <c r="AK771" s="95"/>
      <c r="AL771" s="95"/>
      <c r="AM771" s="95"/>
    </row>
    <row r="772" spans="1:39" ht="12.75" customHeight="1" x14ac:dyDescent="0.2">
      <c r="A772" s="95"/>
      <c r="B772" s="95"/>
      <c r="C772" s="4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  <c r="AG772" s="95"/>
      <c r="AH772" s="95"/>
      <c r="AI772" s="95"/>
      <c r="AJ772" s="95"/>
      <c r="AK772" s="95"/>
      <c r="AL772" s="95"/>
      <c r="AM772" s="95"/>
    </row>
    <row r="773" spans="1:39" ht="12.75" customHeight="1" x14ac:dyDescent="0.2">
      <c r="A773" s="95"/>
      <c r="B773" s="95"/>
      <c r="C773" s="4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  <c r="AG773" s="95"/>
      <c r="AH773" s="95"/>
      <c r="AI773" s="95"/>
      <c r="AJ773" s="95"/>
      <c r="AK773" s="95"/>
      <c r="AL773" s="95"/>
      <c r="AM773" s="95"/>
    </row>
    <row r="774" spans="1:39" ht="12.75" customHeight="1" x14ac:dyDescent="0.2">
      <c r="A774" s="95"/>
      <c r="B774" s="95"/>
      <c r="C774" s="4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  <c r="AG774" s="95"/>
      <c r="AH774" s="95"/>
      <c r="AI774" s="95"/>
      <c r="AJ774" s="95"/>
      <c r="AK774" s="95"/>
      <c r="AL774" s="95"/>
      <c r="AM774" s="95"/>
    </row>
    <row r="775" spans="1:39" ht="12.75" customHeight="1" x14ac:dyDescent="0.2">
      <c r="A775" s="95"/>
      <c r="B775" s="95"/>
      <c r="C775" s="4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  <c r="AG775" s="95"/>
      <c r="AH775" s="95"/>
      <c r="AI775" s="95"/>
      <c r="AJ775" s="95"/>
      <c r="AK775" s="95"/>
      <c r="AL775" s="95"/>
      <c r="AM775" s="95"/>
    </row>
    <row r="776" spans="1:39" ht="12.75" customHeight="1" x14ac:dyDescent="0.2">
      <c r="A776" s="95"/>
      <c r="B776" s="95"/>
      <c r="C776" s="4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  <c r="AG776" s="95"/>
      <c r="AH776" s="95"/>
      <c r="AI776" s="95"/>
      <c r="AJ776" s="95"/>
      <c r="AK776" s="95"/>
      <c r="AL776" s="95"/>
      <c r="AM776" s="95"/>
    </row>
    <row r="777" spans="1:39" ht="12.75" customHeight="1" x14ac:dyDescent="0.2">
      <c r="A777" s="95"/>
      <c r="B777" s="95"/>
      <c r="C777" s="4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  <c r="AG777" s="95"/>
      <c r="AH777" s="95"/>
      <c r="AI777" s="95"/>
      <c r="AJ777" s="95"/>
      <c r="AK777" s="95"/>
      <c r="AL777" s="95"/>
      <c r="AM777" s="95"/>
    </row>
    <row r="778" spans="1:39" ht="12.75" customHeight="1" x14ac:dyDescent="0.2">
      <c r="A778" s="95"/>
      <c r="B778" s="95"/>
      <c r="C778" s="4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  <c r="AG778" s="95"/>
      <c r="AH778" s="95"/>
      <c r="AI778" s="95"/>
      <c r="AJ778" s="95"/>
      <c r="AK778" s="95"/>
      <c r="AL778" s="95"/>
      <c r="AM778" s="95"/>
    </row>
    <row r="779" spans="1:39" ht="12.75" customHeight="1" x14ac:dyDescent="0.2">
      <c r="A779" s="95"/>
      <c r="B779" s="95"/>
      <c r="C779" s="4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  <c r="AG779" s="95"/>
      <c r="AH779" s="95"/>
      <c r="AI779" s="95"/>
      <c r="AJ779" s="95"/>
      <c r="AK779" s="95"/>
      <c r="AL779" s="95"/>
      <c r="AM779" s="95"/>
    </row>
    <row r="780" spans="1:39" ht="12.75" customHeight="1" x14ac:dyDescent="0.2">
      <c r="A780" s="95"/>
      <c r="B780" s="95"/>
      <c r="C780" s="4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  <c r="AG780" s="95"/>
      <c r="AH780" s="95"/>
      <c r="AI780" s="95"/>
      <c r="AJ780" s="95"/>
      <c r="AK780" s="95"/>
      <c r="AL780" s="95"/>
      <c r="AM780" s="95"/>
    </row>
    <row r="781" spans="1:39" ht="12.75" customHeight="1" x14ac:dyDescent="0.2">
      <c r="A781" s="95"/>
      <c r="B781" s="95"/>
      <c r="C781" s="4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  <c r="AG781" s="95"/>
      <c r="AH781" s="95"/>
      <c r="AI781" s="95"/>
      <c r="AJ781" s="95"/>
      <c r="AK781" s="95"/>
      <c r="AL781" s="95"/>
      <c r="AM781" s="95"/>
    </row>
    <row r="782" spans="1:39" ht="12.75" customHeight="1" x14ac:dyDescent="0.2">
      <c r="A782" s="95"/>
      <c r="B782" s="95"/>
      <c r="C782" s="4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  <c r="AG782" s="95"/>
      <c r="AH782" s="95"/>
      <c r="AI782" s="95"/>
      <c r="AJ782" s="95"/>
      <c r="AK782" s="95"/>
      <c r="AL782" s="95"/>
      <c r="AM782" s="95"/>
    </row>
    <row r="783" spans="1:39" ht="12.75" customHeight="1" x14ac:dyDescent="0.2">
      <c r="A783" s="95"/>
      <c r="B783" s="95"/>
      <c r="C783" s="4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  <c r="AG783" s="95"/>
      <c r="AH783" s="95"/>
      <c r="AI783" s="95"/>
      <c r="AJ783" s="95"/>
      <c r="AK783" s="95"/>
      <c r="AL783" s="95"/>
      <c r="AM783" s="95"/>
    </row>
    <row r="784" spans="1:39" ht="12.75" customHeight="1" x14ac:dyDescent="0.2">
      <c r="A784" s="95"/>
      <c r="B784" s="95"/>
      <c r="C784" s="4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  <c r="AG784" s="95"/>
      <c r="AH784" s="95"/>
      <c r="AI784" s="95"/>
      <c r="AJ784" s="95"/>
      <c r="AK784" s="95"/>
      <c r="AL784" s="95"/>
      <c r="AM784" s="95"/>
    </row>
    <row r="785" spans="1:39" ht="12.75" customHeight="1" x14ac:dyDescent="0.2">
      <c r="A785" s="95"/>
      <c r="B785" s="95"/>
      <c r="C785" s="4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  <c r="AG785" s="95"/>
      <c r="AH785" s="95"/>
      <c r="AI785" s="95"/>
      <c r="AJ785" s="95"/>
      <c r="AK785" s="95"/>
      <c r="AL785" s="95"/>
      <c r="AM785" s="95"/>
    </row>
    <row r="786" spans="1:39" ht="12.75" customHeight="1" x14ac:dyDescent="0.2">
      <c r="A786" s="95"/>
      <c r="B786" s="95"/>
      <c r="C786" s="4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  <c r="AG786" s="95"/>
      <c r="AH786" s="95"/>
      <c r="AI786" s="95"/>
      <c r="AJ786" s="95"/>
      <c r="AK786" s="95"/>
      <c r="AL786" s="95"/>
      <c r="AM786" s="95"/>
    </row>
    <row r="787" spans="1:39" ht="12.75" customHeight="1" x14ac:dyDescent="0.2">
      <c r="A787" s="95"/>
      <c r="B787" s="95"/>
      <c r="C787" s="4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  <c r="AG787" s="95"/>
      <c r="AH787" s="95"/>
      <c r="AI787" s="95"/>
      <c r="AJ787" s="95"/>
      <c r="AK787" s="95"/>
      <c r="AL787" s="95"/>
      <c r="AM787" s="95"/>
    </row>
    <row r="788" spans="1:39" ht="12.75" customHeight="1" x14ac:dyDescent="0.2">
      <c r="A788" s="95"/>
      <c r="B788" s="95"/>
      <c r="C788" s="4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  <c r="AG788" s="95"/>
      <c r="AH788" s="95"/>
      <c r="AI788" s="95"/>
      <c r="AJ788" s="95"/>
      <c r="AK788" s="95"/>
      <c r="AL788" s="95"/>
      <c r="AM788" s="95"/>
    </row>
    <row r="789" spans="1:39" ht="12.75" customHeight="1" x14ac:dyDescent="0.2">
      <c r="A789" s="95"/>
      <c r="B789" s="95"/>
      <c r="C789" s="4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  <c r="AG789" s="95"/>
      <c r="AH789" s="95"/>
      <c r="AI789" s="95"/>
      <c r="AJ789" s="95"/>
      <c r="AK789" s="95"/>
      <c r="AL789" s="95"/>
      <c r="AM789" s="95"/>
    </row>
    <row r="790" spans="1:39" ht="12.75" customHeight="1" x14ac:dyDescent="0.2">
      <c r="A790" s="95"/>
      <c r="B790" s="95"/>
      <c r="C790" s="4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  <c r="AG790" s="95"/>
      <c r="AH790" s="95"/>
      <c r="AI790" s="95"/>
      <c r="AJ790" s="95"/>
      <c r="AK790" s="95"/>
      <c r="AL790" s="95"/>
      <c r="AM790" s="95"/>
    </row>
    <row r="791" spans="1:39" ht="12.75" customHeight="1" x14ac:dyDescent="0.2">
      <c r="A791" s="95"/>
      <c r="B791" s="95"/>
      <c r="C791" s="4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  <c r="AG791" s="95"/>
      <c r="AH791" s="95"/>
      <c r="AI791" s="95"/>
      <c r="AJ791" s="95"/>
      <c r="AK791" s="95"/>
      <c r="AL791" s="95"/>
      <c r="AM791" s="95"/>
    </row>
    <row r="792" spans="1:39" ht="12.75" customHeight="1" x14ac:dyDescent="0.2">
      <c r="A792" s="95"/>
      <c r="B792" s="95"/>
      <c r="C792" s="4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  <c r="AG792" s="95"/>
      <c r="AH792" s="95"/>
      <c r="AI792" s="95"/>
      <c r="AJ792" s="95"/>
      <c r="AK792" s="95"/>
      <c r="AL792" s="95"/>
      <c r="AM792" s="95"/>
    </row>
    <row r="793" spans="1:39" ht="12.75" customHeight="1" x14ac:dyDescent="0.2">
      <c r="A793" s="95"/>
      <c r="B793" s="95"/>
      <c r="C793" s="4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  <c r="AG793" s="95"/>
      <c r="AH793" s="95"/>
      <c r="AI793" s="95"/>
      <c r="AJ793" s="95"/>
      <c r="AK793" s="95"/>
      <c r="AL793" s="95"/>
      <c r="AM793" s="95"/>
    </row>
    <row r="794" spans="1:39" ht="12.75" customHeight="1" x14ac:dyDescent="0.2">
      <c r="A794" s="95"/>
      <c r="B794" s="95"/>
      <c r="C794" s="4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  <c r="AG794" s="95"/>
      <c r="AH794" s="95"/>
      <c r="AI794" s="95"/>
      <c r="AJ794" s="95"/>
      <c r="AK794" s="95"/>
      <c r="AL794" s="95"/>
      <c r="AM794" s="95"/>
    </row>
    <row r="795" spans="1:39" ht="12.75" customHeight="1" x14ac:dyDescent="0.2">
      <c r="A795" s="95"/>
      <c r="B795" s="95"/>
      <c r="C795" s="4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  <c r="AG795" s="95"/>
      <c r="AH795" s="95"/>
      <c r="AI795" s="95"/>
      <c r="AJ795" s="95"/>
      <c r="AK795" s="95"/>
      <c r="AL795" s="95"/>
      <c r="AM795" s="95"/>
    </row>
    <row r="796" spans="1:39" ht="12.75" customHeight="1" x14ac:dyDescent="0.2">
      <c r="A796" s="95"/>
      <c r="B796" s="95"/>
      <c r="C796" s="4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  <c r="AG796" s="95"/>
      <c r="AH796" s="95"/>
      <c r="AI796" s="95"/>
      <c r="AJ796" s="95"/>
      <c r="AK796" s="95"/>
      <c r="AL796" s="95"/>
      <c r="AM796" s="95"/>
    </row>
    <row r="797" spans="1:39" ht="12.75" customHeight="1" x14ac:dyDescent="0.2">
      <c r="A797" s="95"/>
      <c r="B797" s="95"/>
      <c r="C797" s="4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  <c r="AG797" s="95"/>
      <c r="AH797" s="95"/>
      <c r="AI797" s="95"/>
      <c r="AJ797" s="95"/>
      <c r="AK797" s="95"/>
      <c r="AL797" s="95"/>
      <c r="AM797" s="95"/>
    </row>
    <row r="798" spans="1:39" ht="12.75" customHeight="1" x14ac:dyDescent="0.2">
      <c r="A798" s="95"/>
      <c r="B798" s="95"/>
      <c r="C798" s="4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  <c r="AG798" s="95"/>
      <c r="AH798" s="95"/>
      <c r="AI798" s="95"/>
      <c r="AJ798" s="95"/>
      <c r="AK798" s="95"/>
      <c r="AL798" s="95"/>
      <c r="AM798" s="95"/>
    </row>
    <row r="799" spans="1:39" ht="12.75" customHeight="1" x14ac:dyDescent="0.2">
      <c r="A799" s="95"/>
      <c r="B799" s="95"/>
      <c r="C799" s="4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  <c r="AG799" s="95"/>
      <c r="AH799" s="95"/>
      <c r="AI799" s="95"/>
      <c r="AJ799" s="95"/>
      <c r="AK799" s="95"/>
      <c r="AL799" s="95"/>
      <c r="AM799" s="95"/>
    </row>
    <row r="800" spans="1:39" ht="12.75" customHeight="1" x14ac:dyDescent="0.2">
      <c r="A800" s="95"/>
      <c r="B800" s="95"/>
      <c r="C800" s="4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  <c r="AG800" s="95"/>
      <c r="AH800" s="95"/>
      <c r="AI800" s="95"/>
      <c r="AJ800" s="95"/>
      <c r="AK800" s="95"/>
      <c r="AL800" s="95"/>
      <c r="AM800" s="95"/>
    </row>
    <row r="801" spans="1:39" ht="12.75" customHeight="1" x14ac:dyDescent="0.2">
      <c r="A801" s="95"/>
      <c r="B801" s="95"/>
      <c r="C801" s="4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  <c r="AG801" s="95"/>
      <c r="AH801" s="95"/>
      <c r="AI801" s="95"/>
      <c r="AJ801" s="95"/>
      <c r="AK801" s="95"/>
      <c r="AL801" s="95"/>
      <c r="AM801" s="95"/>
    </row>
    <row r="802" spans="1:39" ht="12.75" customHeight="1" x14ac:dyDescent="0.2">
      <c r="A802" s="95"/>
      <c r="B802" s="95"/>
      <c r="C802" s="4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  <c r="AG802" s="95"/>
      <c r="AH802" s="95"/>
      <c r="AI802" s="95"/>
      <c r="AJ802" s="95"/>
      <c r="AK802" s="95"/>
      <c r="AL802" s="95"/>
      <c r="AM802" s="95"/>
    </row>
    <row r="803" spans="1:39" ht="12.75" customHeight="1" x14ac:dyDescent="0.2">
      <c r="A803" s="95"/>
      <c r="B803" s="95"/>
      <c r="C803" s="4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  <c r="AG803" s="95"/>
      <c r="AH803" s="95"/>
      <c r="AI803" s="95"/>
      <c r="AJ803" s="95"/>
      <c r="AK803" s="95"/>
      <c r="AL803" s="95"/>
      <c r="AM803" s="95"/>
    </row>
    <row r="804" spans="1:39" ht="12.75" customHeight="1" x14ac:dyDescent="0.2">
      <c r="A804" s="95"/>
      <c r="B804" s="95"/>
      <c r="C804" s="4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  <c r="AG804" s="95"/>
      <c r="AH804" s="95"/>
      <c r="AI804" s="95"/>
      <c r="AJ804" s="95"/>
      <c r="AK804" s="95"/>
      <c r="AL804" s="95"/>
      <c r="AM804" s="95"/>
    </row>
    <row r="805" spans="1:39" ht="12.75" customHeight="1" x14ac:dyDescent="0.2">
      <c r="A805" s="95"/>
      <c r="B805" s="95"/>
      <c r="C805" s="4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  <c r="AG805" s="95"/>
      <c r="AH805" s="95"/>
      <c r="AI805" s="95"/>
      <c r="AJ805" s="95"/>
      <c r="AK805" s="95"/>
      <c r="AL805" s="95"/>
      <c r="AM805" s="95"/>
    </row>
    <row r="806" spans="1:39" ht="12.75" customHeight="1" x14ac:dyDescent="0.2">
      <c r="A806" s="95"/>
      <c r="B806" s="95"/>
      <c r="C806" s="4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  <c r="AG806" s="95"/>
      <c r="AH806" s="95"/>
      <c r="AI806" s="95"/>
      <c r="AJ806" s="95"/>
      <c r="AK806" s="95"/>
      <c r="AL806" s="95"/>
      <c r="AM806" s="95"/>
    </row>
    <row r="807" spans="1:39" ht="12.75" customHeight="1" x14ac:dyDescent="0.2">
      <c r="A807" s="95"/>
      <c r="B807" s="95"/>
      <c r="C807" s="4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  <c r="AG807" s="95"/>
      <c r="AH807" s="95"/>
      <c r="AI807" s="95"/>
      <c r="AJ807" s="95"/>
      <c r="AK807" s="95"/>
      <c r="AL807" s="95"/>
      <c r="AM807" s="95"/>
    </row>
    <row r="808" spans="1:39" ht="12.75" customHeight="1" x14ac:dyDescent="0.2">
      <c r="A808" s="95"/>
      <c r="B808" s="95"/>
      <c r="C808" s="4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  <c r="AG808" s="95"/>
      <c r="AH808" s="95"/>
      <c r="AI808" s="95"/>
      <c r="AJ808" s="95"/>
      <c r="AK808" s="95"/>
      <c r="AL808" s="95"/>
      <c r="AM808" s="95"/>
    </row>
    <row r="809" spans="1:39" ht="12.75" customHeight="1" x14ac:dyDescent="0.2">
      <c r="A809" s="95"/>
      <c r="B809" s="95"/>
      <c r="C809" s="4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  <c r="AG809" s="95"/>
      <c r="AH809" s="95"/>
      <c r="AI809" s="95"/>
      <c r="AJ809" s="95"/>
      <c r="AK809" s="95"/>
      <c r="AL809" s="95"/>
      <c r="AM809" s="95"/>
    </row>
    <row r="810" spans="1:39" ht="12.75" customHeight="1" x14ac:dyDescent="0.2">
      <c r="A810" s="95"/>
      <c r="B810" s="95"/>
      <c r="C810" s="4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  <c r="AE810" s="95"/>
      <c r="AF810" s="95"/>
      <c r="AG810" s="95"/>
      <c r="AH810" s="95"/>
      <c r="AI810" s="95"/>
      <c r="AJ810" s="95"/>
      <c r="AK810" s="95"/>
      <c r="AL810" s="95"/>
      <c r="AM810" s="95"/>
    </row>
    <row r="811" spans="1:39" ht="12.75" customHeight="1" x14ac:dyDescent="0.2">
      <c r="A811" s="95"/>
      <c r="B811" s="95"/>
      <c r="C811" s="4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  <c r="AE811" s="95"/>
      <c r="AF811" s="95"/>
      <c r="AG811" s="95"/>
      <c r="AH811" s="95"/>
      <c r="AI811" s="95"/>
      <c r="AJ811" s="95"/>
      <c r="AK811" s="95"/>
      <c r="AL811" s="95"/>
      <c r="AM811" s="95"/>
    </row>
    <row r="812" spans="1:39" ht="12.75" customHeight="1" x14ac:dyDescent="0.2">
      <c r="A812" s="95"/>
      <c r="B812" s="95"/>
      <c r="C812" s="4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  <c r="AE812" s="95"/>
      <c r="AF812" s="95"/>
      <c r="AG812" s="95"/>
      <c r="AH812" s="95"/>
      <c r="AI812" s="95"/>
      <c r="AJ812" s="95"/>
      <c r="AK812" s="95"/>
      <c r="AL812" s="95"/>
      <c r="AM812" s="95"/>
    </row>
    <row r="813" spans="1:39" ht="12.75" customHeight="1" x14ac:dyDescent="0.2">
      <c r="A813" s="95"/>
      <c r="B813" s="95"/>
      <c r="C813" s="4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  <c r="AE813" s="95"/>
      <c r="AF813" s="95"/>
      <c r="AG813" s="95"/>
      <c r="AH813" s="95"/>
      <c r="AI813" s="95"/>
      <c r="AJ813" s="95"/>
      <c r="AK813" s="95"/>
      <c r="AL813" s="95"/>
      <c r="AM813" s="95"/>
    </row>
    <row r="814" spans="1:39" ht="12.75" customHeight="1" x14ac:dyDescent="0.2">
      <c r="A814" s="95"/>
      <c r="B814" s="95"/>
      <c r="C814" s="4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  <c r="AE814" s="95"/>
      <c r="AF814" s="95"/>
      <c r="AG814" s="95"/>
      <c r="AH814" s="95"/>
      <c r="AI814" s="95"/>
      <c r="AJ814" s="95"/>
      <c r="AK814" s="95"/>
      <c r="AL814" s="95"/>
      <c r="AM814" s="95"/>
    </row>
    <row r="815" spans="1:39" ht="12.75" customHeight="1" x14ac:dyDescent="0.2">
      <c r="A815" s="95"/>
      <c r="B815" s="95"/>
      <c r="C815" s="4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  <c r="AE815" s="95"/>
      <c r="AF815" s="95"/>
      <c r="AG815" s="95"/>
      <c r="AH815" s="95"/>
      <c r="AI815" s="95"/>
      <c r="AJ815" s="95"/>
      <c r="AK815" s="95"/>
      <c r="AL815" s="95"/>
      <c r="AM815" s="95"/>
    </row>
    <row r="816" spans="1:39" ht="12.75" customHeight="1" x14ac:dyDescent="0.2">
      <c r="A816" s="95"/>
      <c r="B816" s="95"/>
      <c r="C816" s="4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  <c r="AE816" s="95"/>
      <c r="AF816" s="95"/>
      <c r="AG816" s="95"/>
      <c r="AH816" s="95"/>
      <c r="AI816" s="95"/>
      <c r="AJ816" s="95"/>
      <c r="AK816" s="95"/>
      <c r="AL816" s="95"/>
      <c r="AM816" s="95"/>
    </row>
    <row r="817" spans="1:39" ht="12.75" customHeight="1" x14ac:dyDescent="0.2">
      <c r="A817" s="95"/>
      <c r="B817" s="95"/>
      <c r="C817" s="4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  <c r="AE817" s="95"/>
      <c r="AF817" s="95"/>
      <c r="AG817" s="95"/>
      <c r="AH817" s="95"/>
      <c r="AI817" s="95"/>
      <c r="AJ817" s="95"/>
      <c r="AK817" s="95"/>
      <c r="AL817" s="95"/>
      <c r="AM817" s="95"/>
    </row>
    <row r="818" spans="1:39" ht="12.75" customHeight="1" x14ac:dyDescent="0.2">
      <c r="A818" s="95"/>
      <c r="B818" s="95"/>
      <c r="C818" s="4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  <c r="AE818" s="95"/>
      <c r="AF818" s="95"/>
      <c r="AG818" s="95"/>
      <c r="AH818" s="95"/>
      <c r="AI818" s="95"/>
      <c r="AJ818" s="95"/>
      <c r="AK818" s="95"/>
      <c r="AL818" s="95"/>
      <c r="AM818" s="95"/>
    </row>
    <row r="819" spans="1:39" ht="12.75" customHeight="1" x14ac:dyDescent="0.2">
      <c r="A819" s="95"/>
      <c r="B819" s="95"/>
      <c r="C819" s="4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  <c r="AE819" s="95"/>
      <c r="AF819" s="95"/>
      <c r="AG819" s="95"/>
      <c r="AH819" s="95"/>
      <c r="AI819" s="95"/>
      <c r="AJ819" s="95"/>
      <c r="AK819" s="95"/>
      <c r="AL819" s="95"/>
      <c r="AM819" s="95"/>
    </row>
    <row r="820" spans="1:39" ht="12.75" customHeight="1" x14ac:dyDescent="0.2">
      <c r="A820" s="95"/>
      <c r="B820" s="95"/>
      <c r="C820" s="4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  <c r="AE820" s="95"/>
      <c r="AF820" s="95"/>
      <c r="AG820" s="95"/>
      <c r="AH820" s="95"/>
      <c r="AI820" s="95"/>
      <c r="AJ820" s="95"/>
      <c r="AK820" s="95"/>
      <c r="AL820" s="95"/>
      <c r="AM820" s="95"/>
    </row>
    <row r="821" spans="1:39" ht="12.75" customHeight="1" x14ac:dyDescent="0.2">
      <c r="A821" s="95"/>
      <c r="B821" s="95"/>
      <c r="C821" s="4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  <c r="AE821" s="95"/>
      <c r="AF821" s="95"/>
      <c r="AG821" s="95"/>
      <c r="AH821" s="95"/>
      <c r="AI821" s="95"/>
      <c r="AJ821" s="95"/>
      <c r="AK821" s="95"/>
      <c r="AL821" s="95"/>
      <c r="AM821" s="95"/>
    </row>
    <row r="822" spans="1:39" ht="12.75" customHeight="1" x14ac:dyDescent="0.2">
      <c r="A822" s="95"/>
      <c r="B822" s="95"/>
      <c r="C822" s="4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  <c r="AE822" s="95"/>
      <c r="AF822" s="95"/>
      <c r="AG822" s="95"/>
      <c r="AH822" s="95"/>
      <c r="AI822" s="95"/>
      <c r="AJ822" s="95"/>
      <c r="AK822" s="95"/>
      <c r="AL822" s="95"/>
      <c r="AM822" s="95"/>
    </row>
    <row r="823" spans="1:39" ht="12.75" customHeight="1" x14ac:dyDescent="0.2">
      <c r="A823" s="95"/>
      <c r="B823" s="95"/>
      <c r="C823" s="4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  <c r="AE823" s="95"/>
      <c r="AF823" s="95"/>
      <c r="AG823" s="95"/>
      <c r="AH823" s="95"/>
      <c r="AI823" s="95"/>
      <c r="AJ823" s="95"/>
      <c r="AK823" s="95"/>
      <c r="AL823" s="95"/>
      <c r="AM823" s="95"/>
    </row>
    <row r="824" spans="1:39" ht="12.75" customHeight="1" x14ac:dyDescent="0.2">
      <c r="A824" s="95"/>
      <c r="B824" s="95"/>
      <c r="C824" s="4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  <c r="AE824" s="95"/>
      <c r="AF824" s="95"/>
      <c r="AG824" s="95"/>
      <c r="AH824" s="95"/>
      <c r="AI824" s="95"/>
      <c r="AJ824" s="95"/>
      <c r="AK824" s="95"/>
      <c r="AL824" s="95"/>
      <c r="AM824" s="95"/>
    </row>
    <row r="825" spans="1:39" ht="12.75" customHeight="1" x14ac:dyDescent="0.2">
      <c r="A825" s="95"/>
      <c r="B825" s="95"/>
      <c r="C825" s="4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  <c r="AE825" s="95"/>
      <c r="AF825" s="95"/>
      <c r="AG825" s="95"/>
      <c r="AH825" s="95"/>
      <c r="AI825" s="95"/>
      <c r="AJ825" s="95"/>
      <c r="AK825" s="95"/>
      <c r="AL825" s="95"/>
      <c r="AM825" s="95"/>
    </row>
    <row r="826" spans="1:39" ht="12.75" customHeight="1" x14ac:dyDescent="0.2">
      <c r="A826" s="95"/>
      <c r="B826" s="95"/>
      <c r="C826" s="4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  <c r="AE826" s="95"/>
      <c r="AF826" s="95"/>
      <c r="AG826" s="95"/>
      <c r="AH826" s="95"/>
      <c r="AI826" s="95"/>
      <c r="AJ826" s="95"/>
      <c r="AK826" s="95"/>
      <c r="AL826" s="95"/>
      <c r="AM826" s="95"/>
    </row>
    <row r="827" spans="1:39" ht="12.75" customHeight="1" x14ac:dyDescent="0.2">
      <c r="A827" s="95"/>
      <c r="B827" s="95"/>
      <c r="C827" s="4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  <c r="AE827" s="95"/>
      <c r="AF827" s="95"/>
      <c r="AG827" s="95"/>
      <c r="AH827" s="95"/>
      <c r="AI827" s="95"/>
      <c r="AJ827" s="95"/>
      <c r="AK827" s="95"/>
      <c r="AL827" s="95"/>
      <c r="AM827" s="95"/>
    </row>
    <row r="828" spans="1:39" ht="12.75" customHeight="1" x14ac:dyDescent="0.2">
      <c r="A828" s="95"/>
      <c r="B828" s="95"/>
      <c r="C828" s="4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  <c r="AE828" s="95"/>
      <c r="AF828" s="95"/>
      <c r="AG828" s="95"/>
      <c r="AH828" s="95"/>
      <c r="AI828" s="95"/>
      <c r="AJ828" s="95"/>
      <c r="AK828" s="95"/>
      <c r="AL828" s="95"/>
      <c r="AM828" s="95"/>
    </row>
    <row r="829" spans="1:39" ht="12.75" customHeight="1" x14ac:dyDescent="0.2">
      <c r="A829" s="95"/>
      <c r="B829" s="95"/>
      <c r="C829" s="4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  <c r="AE829" s="95"/>
      <c r="AF829" s="95"/>
      <c r="AG829" s="95"/>
      <c r="AH829" s="95"/>
      <c r="AI829" s="95"/>
      <c r="AJ829" s="95"/>
      <c r="AK829" s="95"/>
      <c r="AL829" s="95"/>
      <c r="AM829" s="95"/>
    </row>
    <row r="830" spans="1:39" ht="12.75" customHeight="1" x14ac:dyDescent="0.2">
      <c r="A830" s="95"/>
      <c r="B830" s="95"/>
      <c r="C830" s="4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  <c r="AE830" s="95"/>
      <c r="AF830" s="95"/>
      <c r="AG830" s="95"/>
      <c r="AH830" s="95"/>
      <c r="AI830" s="95"/>
      <c r="AJ830" s="95"/>
      <c r="AK830" s="95"/>
      <c r="AL830" s="95"/>
      <c r="AM830" s="95"/>
    </row>
    <row r="831" spans="1:39" ht="12.75" customHeight="1" x14ac:dyDescent="0.2">
      <c r="A831" s="95"/>
      <c r="B831" s="95"/>
      <c r="C831" s="4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  <c r="AE831" s="95"/>
      <c r="AF831" s="95"/>
      <c r="AG831" s="95"/>
      <c r="AH831" s="95"/>
      <c r="AI831" s="95"/>
      <c r="AJ831" s="95"/>
      <c r="AK831" s="95"/>
      <c r="AL831" s="95"/>
      <c r="AM831" s="95"/>
    </row>
    <row r="832" spans="1:39" ht="12.75" customHeight="1" x14ac:dyDescent="0.2">
      <c r="A832" s="95"/>
      <c r="B832" s="95"/>
      <c r="C832" s="4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  <c r="AE832" s="95"/>
      <c r="AF832" s="95"/>
      <c r="AG832" s="95"/>
      <c r="AH832" s="95"/>
      <c r="AI832" s="95"/>
      <c r="AJ832" s="95"/>
      <c r="AK832" s="95"/>
      <c r="AL832" s="95"/>
      <c r="AM832" s="95"/>
    </row>
    <row r="833" spans="1:39" ht="12.75" customHeight="1" x14ac:dyDescent="0.2">
      <c r="A833" s="95"/>
      <c r="B833" s="95"/>
      <c r="C833" s="4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  <c r="AE833" s="95"/>
      <c r="AF833" s="95"/>
      <c r="AG833" s="95"/>
      <c r="AH833" s="95"/>
      <c r="AI833" s="95"/>
      <c r="AJ833" s="95"/>
      <c r="AK833" s="95"/>
      <c r="AL833" s="95"/>
      <c r="AM833" s="95"/>
    </row>
    <row r="834" spans="1:39" ht="12.75" customHeight="1" x14ac:dyDescent="0.2">
      <c r="A834" s="95"/>
      <c r="B834" s="95"/>
      <c r="C834" s="4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  <c r="AE834" s="95"/>
      <c r="AF834" s="95"/>
      <c r="AG834" s="95"/>
      <c r="AH834" s="95"/>
      <c r="AI834" s="95"/>
      <c r="AJ834" s="95"/>
      <c r="AK834" s="95"/>
      <c r="AL834" s="95"/>
      <c r="AM834" s="95"/>
    </row>
    <row r="835" spans="1:39" ht="12.75" customHeight="1" x14ac:dyDescent="0.2">
      <c r="A835" s="95"/>
      <c r="B835" s="95"/>
      <c r="C835" s="4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  <c r="AE835" s="95"/>
      <c r="AF835" s="95"/>
      <c r="AG835" s="95"/>
      <c r="AH835" s="95"/>
      <c r="AI835" s="95"/>
      <c r="AJ835" s="95"/>
      <c r="AK835" s="95"/>
      <c r="AL835" s="95"/>
      <c r="AM835" s="95"/>
    </row>
    <row r="836" spans="1:39" ht="12.75" customHeight="1" x14ac:dyDescent="0.2">
      <c r="A836" s="95"/>
      <c r="B836" s="95"/>
      <c r="C836" s="4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  <c r="AE836" s="95"/>
      <c r="AF836" s="95"/>
      <c r="AG836" s="95"/>
      <c r="AH836" s="95"/>
      <c r="AI836" s="95"/>
      <c r="AJ836" s="95"/>
      <c r="AK836" s="95"/>
      <c r="AL836" s="95"/>
      <c r="AM836" s="95"/>
    </row>
    <row r="837" spans="1:39" ht="12.75" customHeight="1" x14ac:dyDescent="0.2">
      <c r="A837" s="95"/>
      <c r="B837" s="95"/>
      <c r="C837" s="4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  <c r="AE837" s="95"/>
      <c r="AF837" s="95"/>
      <c r="AG837" s="95"/>
      <c r="AH837" s="95"/>
      <c r="AI837" s="95"/>
      <c r="AJ837" s="95"/>
      <c r="AK837" s="95"/>
      <c r="AL837" s="95"/>
      <c r="AM837" s="95"/>
    </row>
    <row r="838" spans="1:39" ht="12.75" customHeight="1" x14ac:dyDescent="0.2">
      <c r="A838" s="95"/>
      <c r="B838" s="95"/>
      <c r="C838" s="4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  <c r="AE838" s="95"/>
      <c r="AF838" s="95"/>
      <c r="AG838" s="95"/>
      <c r="AH838" s="95"/>
      <c r="AI838" s="95"/>
      <c r="AJ838" s="95"/>
      <c r="AK838" s="95"/>
      <c r="AL838" s="95"/>
      <c r="AM838" s="95"/>
    </row>
    <row r="839" spans="1:39" ht="12.75" customHeight="1" x14ac:dyDescent="0.2">
      <c r="A839" s="95"/>
      <c r="B839" s="95"/>
      <c r="C839" s="4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  <c r="AE839" s="95"/>
      <c r="AF839" s="95"/>
      <c r="AG839" s="95"/>
      <c r="AH839" s="95"/>
      <c r="AI839" s="95"/>
      <c r="AJ839" s="95"/>
      <c r="AK839" s="95"/>
      <c r="AL839" s="95"/>
      <c r="AM839" s="95"/>
    </row>
    <row r="840" spans="1:39" ht="12.75" customHeight="1" x14ac:dyDescent="0.2">
      <c r="A840" s="95"/>
      <c r="B840" s="95"/>
      <c r="C840" s="4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  <c r="AE840" s="95"/>
      <c r="AF840" s="95"/>
      <c r="AG840" s="95"/>
      <c r="AH840" s="95"/>
      <c r="AI840" s="95"/>
      <c r="AJ840" s="95"/>
      <c r="AK840" s="95"/>
      <c r="AL840" s="95"/>
      <c r="AM840" s="95"/>
    </row>
    <row r="841" spans="1:39" ht="12.75" customHeight="1" x14ac:dyDescent="0.2">
      <c r="A841" s="95"/>
      <c r="B841" s="95"/>
      <c r="C841" s="4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  <c r="AE841" s="95"/>
      <c r="AF841" s="95"/>
      <c r="AG841" s="95"/>
      <c r="AH841" s="95"/>
      <c r="AI841" s="95"/>
      <c r="AJ841" s="95"/>
      <c r="AK841" s="95"/>
      <c r="AL841" s="95"/>
      <c r="AM841" s="95"/>
    </row>
    <row r="842" spans="1:39" ht="12.75" customHeight="1" x14ac:dyDescent="0.2">
      <c r="A842" s="95"/>
      <c r="B842" s="95"/>
      <c r="C842" s="4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  <c r="AE842" s="95"/>
      <c r="AF842" s="95"/>
      <c r="AG842" s="95"/>
      <c r="AH842" s="95"/>
      <c r="AI842" s="95"/>
      <c r="AJ842" s="95"/>
      <c r="AK842" s="95"/>
      <c r="AL842" s="95"/>
      <c r="AM842" s="95"/>
    </row>
    <row r="843" spans="1:39" ht="12.75" customHeight="1" x14ac:dyDescent="0.2">
      <c r="A843" s="95"/>
      <c r="B843" s="95"/>
      <c r="C843" s="4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  <c r="AE843" s="95"/>
      <c r="AF843" s="95"/>
      <c r="AG843" s="95"/>
      <c r="AH843" s="95"/>
      <c r="AI843" s="95"/>
      <c r="AJ843" s="95"/>
      <c r="AK843" s="95"/>
      <c r="AL843" s="95"/>
      <c r="AM843" s="95"/>
    </row>
    <row r="844" spans="1:39" ht="12.75" customHeight="1" x14ac:dyDescent="0.2">
      <c r="A844" s="95"/>
      <c r="B844" s="95"/>
      <c r="C844" s="4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  <c r="AE844" s="95"/>
      <c r="AF844" s="95"/>
      <c r="AG844" s="95"/>
      <c r="AH844" s="95"/>
      <c r="AI844" s="95"/>
      <c r="AJ844" s="95"/>
      <c r="AK844" s="95"/>
      <c r="AL844" s="95"/>
      <c r="AM844" s="95"/>
    </row>
    <row r="845" spans="1:39" ht="12.75" customHeight="1" x14ac:dyDescent="0.2">
      <c r="A845" s="95"/>
      <c r="B845" s="95"/>
      <c r="C845" s="4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  <c r="AE845" s="95"/>
      <c r="AF845" s="95"/>
      <c r="AG845" s="95"/>
      <c r="AH845" s="95"/>
      <c r="AI845" s="95"/>
      <c r="AJ845" s="95"/>
      <c r="AK845" s="95"/>
      <c r="AL845" s="95"/>
      <c r="AM845" s="95"/>
    </row>
    <row r="846" spans="1:39" ht="12.75" customHeight="1" x14ac:dyDescent="0.2">
      <c r="A846" s="95"/>
      <c r="B846" s="95"/>
      <c r="C846" s="4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  <c r="AE846" s="95"/>
      <c r="AF846" s="95"/>
      <c r="AG846" s="95"/>
      <c r="AH846" s="95"/>
      <c r="AI846" s="95"/>
      <c r="AJ846" s="95"/>
      <c r="AK846" s="95"/>
      <c r="AL846" s="95"/>
      <c r="AM846" s="95"/>
    </row>
    <row r="847" spans="1:39" ht="12.75" customHeight="1" x14ac:dyDescent="0.2">
      <c r="A847" s="95"/>
      <c r="B847" s="95"/>
      <c r="C847" s="4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  <c r="AE847" s="95"/>
      <c r="AF847" s="95"/>
      <c r="AG847" s="95"/>
      <c r="AH847" s="95"/>
      <c r="AI847" s="95"/>
      <c r="AJ847" s="95"/>
      <c r="AK847" s="95"/>
      <c r="AL847" s="95"/>
      <c r="AM847" s="95"/>
    </row>
    <row r="848" spans="1:39" ht="12.75" customHeight="1" x14ac:dyDescent="0.2">
      <c r="A848" s="95"/>
      <c r="B848" s="95"/>
      <c r="C848" s="4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  <c r="AE848" s="95"/>
      <c r="AF848" s="95"/>
      <c r="AG848" s="95"/>
      <c r="AH848" s="95"/>
      <c r="AI848" s="95"/>
      <c r="AJ848" s="95"/>
      <c r="AK848" s="95"/>
      <c r="AL848" s="95"/>
      <c r="AM848" s="95"/>
    </row>
    <row r="849" spans="1:39" ht="12.75" customHeight="1" x14ac:dyDescent="0.2">
      <c r="A849" s="95"/>
      <c r="B849" s="95"/>
      <c r="C849" s="4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  <c r="AE849" s="95"/>
      <c r="AF849" s="95"/>
      <c r="AG849" s="95"/>
      <c r="AH849" s="95"/>
      <c r="AI849" s="95"/>
      <c r="AJ849" s="95"/>
      <c r="AK849" s="95"/>
      <c r="AL849" s="95"/>
      <c r="AM849" s="95"/>
    </row>
    <row r="850" spans="1:39" ht="12.75" customHeight="1" x14ac:dyDescent="0.2">
      <c r="A850" s="95"/>
      <c r="B850" s="95"/>
      <c r="C850" s="4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  <c r="AE850" s="95"/>
      <c r="AF850" s="95"/>
      <c r="AG850" s="95"/>
      <c r="AH850" s="95"/>
      <c r="AI850" s="95"/>
      <c r="AJ850" s="95"/>
      <c r="AK850" s="95"/>
      <c r="AL850" s="95"/>
      <c r="AM850" s="95"/>
    </row>
    <row r="851" spans="1:39" ht="12.75" customHeight="1" x14ac:dyDescent="0.2">
      <c r="A851" s="95"/>
      <c r="B851" s="95"/>
      <c r="C851" s="4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  <c r="AE851" s="95"/>
      <c r="AF851" s="95"/>
      <c r="AG851" s="95"/>
      <c r="AH851" s="95"/>
      <c r="AI851" s="95"/>
      <c r="AJ851" s="95"/>
      <c r="AK851" s="95"/>
      <c r="AL851" s="95"/>
      <c r="AM851" s="95"/>
    </row>
    <row r="852" spans="1:39" ht="12.75" customHeight="1" x14ac:dyDescent="0.2">
      <c r="A852" s="95"/>
      <c r="B852" s="95"/>
      <c r="C852" s="4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  <c r="AE852" s="95"/>
      <c r="AF852" s="95"/>
      <c r="AG852" s="95"/>
      <c r="AH852" s="95"/>
      <c r="AI852" s="95"/>
      <c r="AJ852" s="95"/>
      <c r="AK852" s="95"/>
      <c r="AL852" s="95"/>
      <c r="AM852" s="95"/>
    </row>
    <row r="853" spans="1:39" ht="12.75" customHeight="1" x14ac:dyDescent="0.2">
      <c r="A853" s="95"/>
      <c r="B853" s="95"/>
      <c r="C853" s="4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  <c r="AE853" s="95"/>
      <c r="AF853" s="95"/>
      <c r="AG853" s="95"/>
      <c r="AH853" s="95"/>
      <c r="AI853" s="95"/>
      <c r="AJ853" s="95"/>
      <c r="AK853" s="95"/>
      <c r="AL853" s="95"/>
      <c r="AM853" s="95"/>
    </row>
    <row r="854" spans="1:39" ht="12.75" customHeight="1" x14ac:dyDescent="0.2">
      <c r="A854" s="95"/>
      <c r="B854" s="95"/>
      <c r="C854" s="4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  <c r="AE854" s="95"/>
      <c r="AF854" s="95"/>
      <c r="AG854" s="95"/>
      <c r="AH854" s="95"/>
      <c r="AI854" s="95"/>
      <c r="AJ854" s="95"/>
      <c r="AK854" s="95"/>
      <c r="AL854" s="95"/>
      <c r="AM854" s="95"/>
    </row>
    <row r="855" spans="1:39" ht="12.75" customHeight="1" x14ac:dyDescent="0.2">
      <c r="A855" s="95"/>
      <c r="B855" s="95"/>
      <c r="C855" s="4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  <c r="AE855" s="95"/>
      <c r="AF855" s="95"/>
      <c r="AG855" s="95"/>
      <c r="AH855" s="95"/>
      <c r="AI855" s="95"/>
      <c r="AJ855" s="95"/>
      <c r="AK855" s="95"/>
      <c r="AL855" s="95"/>
      <c r="AM855" s="95"/>
    </row>
    <row r="856" spans="1:39" ht="12.75" customHeight="1" x14ac:dyDescent="0.2">
      <c r="A856" s="95"/>
      <c r="B856" s="95"/>
      <c r="C856" s="4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  <c r="AE856" s="95"/>
      <c r="AF856" s="95"/>
      <c r="AG856" s="95"/>
      <c r="AH856" s="95"/>
      <c r="AI856" s="95"/>
      <c r="AJ856" s="95"/>
      <c r="AK856" s="95"/>
      <c r="AL856" s="95"/>
      <c r="AM856" s="95"/>
    </row>
    <row r="857" spans="1:39" ht="12.75" customHeight="1" x14ac:dyDescent="0.2">
      <c r="A857" s="95"/>
      <c r="B857" s="95"/>
      <c r="C857" s="4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  <c r="AE857" s="95"/>
      <c r="AF857" s="95"/>
      <c r="AG857" s="95"/>
      <c r="AH857" s="95"/>
      <c r="AI857" s="95"/>
      <c r="AJ857" s="95"/>
      <c r="AK857" s="95"/>
      <c r="AL857" s="95"/>
      <c r="AM857" s="95"/>
    </row>
    <row r="858" spans="1:39" ht="12.75" customHeight="1" x14ac:dyDescent="0.2">
      <c r="A858" s="95"/>
      <c r="B858" s="95"/>
      <c r="C858" s="4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  <c r="AE858" s="95"/>
      <c r="AF858" s="95"/>
      <c r="AG858" s="95"/>
      <c r="AH858" s="95"/>
      <c r="AI858" s="95"/>
      <c r="AJ858" s="95"/>
      <c r="AK858" s="95"/>
      <c r="AL858" s="95"/>
      <c r="AM858" s="95"/>
    </row>
    <row r="859" spans="1:39" ht="12.75" customHeight="1" x14ac:dyDescent="0.2">
      <c r="A859" s="95"/>
      <c r="B859" s="95"/>
      <c r="C859" s="4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  <c r="AE859" s="95"/>
      <c r="AF859" s="95"/>
      <c r="AG859" s="95"/>
      <c r="AH859" s="95"/>
      <c r="AI859" s="95"/>
      <c r="AJ859" s="95"/>
      <c r="AK859" s="95"/>
      <c r="AL859" s="95"/>
      <c r="AM859" s="95"/>
    </row>
    <row r="860" spans="1:39" ht="12.75" customHeight="1" x14ac:dyDescent="0.2">
      <c r="A860" s="95"/>
      <c r="B860" s="95"/>
      <c r="C860" s="4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  <c r="AE860" s="95"/>
      <c r="AF860" s="95"/>
      <c r="AG860" s="95"/>
      <c r="AH860" s="95"/>
      <c r="AI860" s="95"/>
      <c r="AJ860" s="95"/>
      <c r="AK860" s="95"/>
      <c r="AL860" s="95"/>
      <c r="AM860" s="95"/>
    </row>
    <row r="861" spans="1:39" ht="12.75" customHeight="1" x14ac:dyDescent="0.2">
      <c r="A861" s="95"/>
      <c r="B861" s="95"/>
      <c r="C861" s="4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  <c r="AE861" s="95"/>
      <c r="AF861" s="95"/>
      <c r="AG861" s="95"/>
      <c r="AH861" s="95"/>
      <c r="AI861" s="95"/>
      <c r="AJ861" s="95"/>
      <c r="AK861" s="95"/>
      <c r="AL861" s="95"/>
      <c r="AM861" s="95"/>
    </row>
    <row r="862" spans="1:39" ht="12.75" customHeight="1" x14ac:dyDescent="0.2">
      <c r="A862" s="95"/>
      <c r="B862" s="95"/>
      <c r="C862" s="4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  <c r="AE862" s="95"/>
      <c r="AF862" s="95"/>
      <c r="AG862" s="95"/>
      <c r="AH862" s="95"/>
      <c r="AI862" s="95"/>
      <c r="AJ862" s="95"/>
      <c r="AK862" s="95"/>
      <c r="AL862" s="95"/>
      <c r="AM862" s="95"/>
    </row>
    <row r="863" spans="1:39" ht="12.75" customHeight="1" x14ac:dyDescent="0.2">
      <c r="A863" s="95"/>
      <c r="B863" s="95"/>
      <c r="C863" s="4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  <c r="AE863" s="95"/>
      <c r="AF863" s="95"/>
      <c r="AG863" s="95"/>
      <c r="AH863" s="95"/>
      <c r="AI863" s="95"/>
      <c r="AJ863" s="95"/>
      <c r="AK863" s="95"/>
      <c r="AL863" s="95"/>
      <c r="AM863" s="95"/>
    </row>
    <row r="864" spans="1:39" ht="12.75" customHeight="1" x14ac:dyDescent="0.2">
      <c r="A864" s="95"/>
      <c r="B864" s="95"/>
      <c r="C864" s="4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  <c r="AE864" s="95"/>
      <c r="AF864" s="95"/>
      <c r="AG864" s="95"/>
      <c r="AH864" s="95"/>
      <c r="AI864" s="95"/>
      <c r="AJ864" s="95"/>
      <c r="AK864" s="95"/>
      <c r="AL864" s="95"/>
      <c r="AM864" s="95"/>
    </row>
    <row r="865" spans="1:39" ht="12.75" customHeight="1" x14ac:dyDescent="0.2">
      <c r="A865" s="95"/>
      <c r="B865" s="95"/>
      <c r="C865" s="4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  <c r="AE865" s="95"/>
      <c r="AF865" s="95"/>
      <c r="AG865" s="95"/>
      <c r="AH865" s="95"/>
      <c r="AI865" s="95"/>
      <c r="AJ865" s="95"/>
      <c r="AK865" s="95"/>
      <c r="AL865" s="95"/>
      <c r="AM865" s="95"/>
    </row>
    <row r="866" spans="1:39" ht="12.75" customHeight="1" x14ac:dyDescent="0.2">
      <c r="A866" s="95"/>
      <c r="B866" s="95"/>
      <c r="C866" s="4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  <c r="AE866" s="95"/>
      <c r="AF866" s="95"/>
      <c r="AG866" s="95"/>
      <c r="AH866" s="95"/>
      <c r="AI866" s="95"/>
      <c r="AJ866" s="95"/>
      <c r="AK866" s="95"/>
      <c r="AL866" s="95"/>
      <c r="AM866" s="95"/>
    </row>
    <row r="867" spans="1:39" ht="12.75" customHeight="1" x14ac:dyDescent="0.2">
      <c r="A867" s="95"/>
      <c r="B867" s="95"/>
      <c r="C867" s="4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  <c r="AE867" s="95"/>
      <c r="AF867" s="95"/>
      <c r="AG867" s="95"/>
      <c r="AH867" s="95"/>
      <c r="AI867" s="95"/>
      <c r="AJ867" s="95"/>
      <c r="AK867" s="95"/>
      <c r="AL867" s="95"/>
      <c r="AM867" s="95"/>
    </row>
    <row r="868" spans="1:39" ht="12.75" customHeight="1" x14ac:dyDescent="0.2">
      <c r="A868" s="95"/>
      <c r="B868" s="95"/>
      <c r="C868" s="4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  <c r="AE868" s="95"/>
      <c r="AF868" s="95"/>
      <c r="AG868" s="95"/>
      <c r="AH868" s="95"/>
      <c r="AI868" s="95"/>
      <c r="AJ868" s="95"/>
      <c r="AK868" s="95"/>
      <c r="AL868" s="95"/>
      <c r="AM868" s="95"/>
    </row>
    <row r="869" spans="1:39" ht="12.75" customHeight="1" x14ac:dyDescent="0.2">
      <c r="A869" s="95"/>
      <c r="B869" s="95"/>
      <c r="C869" s="4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  <c r="AE869" s="95"/>
      <c r="AF869" s="95"/>
      <c r="AG869" s="95"/>
      <c r="AH869" s="95"/>
      <c r="AI869" s="95"/>
      <c r="AJ869" s="95"/>
      <c r="AK869" s="95"/>
      <c r="AL869" s="95"/>
      <c r="AM869" s="95"/>
    </row>
    <row r="870" spans="1:39" ht="12.75" customHeight="1" x14ac:dyDescent="0.2">
      <c r="A870" s="95"/>
      <c r="B870" s="95"/>
      <c r="C870" s="4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  <c r="AE870" s="95"/>
      <c r="AF870" s="95"/>
      <c r="AG870" s="95"/>
      <c r="AH870" s="95"/>
      <c r="AI870" s="95"/>
      <c r="AJ870" s="95"/>
      <c r="AK870" s="95"/>
      <c r="AL870" s="95"/>
      <c r="AM870" s="95"/>
    </row>
    <row r="871" spans="1:39" ht="12.75" customHeight="1" x14ac:dyDescent="0.2">
      <c r="A871" s="95"/>
      <c r="B871" s="95"/>
      <c r="C871" s="4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  <c r="AE871" s="95"/>
      <c r="AF871" s="95"/>
      <c r="AG871" s="95"/>
      <c r="AH871" s="95"/>
      <c r="AI871" s="95"/>
      <c r="AJ871" s="95"/>
      <c r="AK871" s="95"/>
      <c r="AL871" s="95"/>
      <c r="AM871" s="95"/>
    </row>
    <row r="872" spans="1:39" ht="12.75" customHeight="1" x14ac:dyDescent="0.2">
      <c r="A872" s="95"/>
      <c r="B872" s="95"/>
      <c r="C872" s="4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  <c r="AE872" s="95"/>
      <c r="AF872" s="95"/>
      <c r="AG872" s="95"/>
      <c r="AH872" s="95"/>
      <c r="AI872" s="95"/>
      <c r="AJ872" s="95"/>
      <c r="AK872" s="95"/>
      <c r="AL872" s="95"/>
      <c r="AM872" s="95"/>
    </row>
    <row r="873" spans="1:39" ht="12.75" customHeight="1" x14ac:dyDescent="0.2">
      <c r="A873" s="95"/>
      <c r="B873" s="95"/>
      <c r="C873" s="4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  <c r="AE873" s="95"/>
      <c r="AF873" s="95"/>
      <c r="AG873" s="95"/>
      <c r="AH873" s="95"/>
      <c r="AI873" s="95"/>
      <c r="AJ873" s="95"/>
      <c r="AK873" s="95"/>
      <c r="AL873" s="95"/>
      <c r="AM873" s="95"/>
    </row>
    <row r="874" spans="1:39" ht="12.75" customHeight="1" x14ac:dyDescent="0.2">
      <c r="A874" s="95"/>
      <c r="B874" s="95"/>
      <c r="C874" s="4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  <c r="AE874" s="95"/>
      <c r="AF874" s="95"/>
      <c r="AG874" s="95"/>
      <c r="AH874" s="95"/>
      <c r="AI874" s="95"/>
      <c r="AJ874" s="95"/>
      <c r="AK874" s="95"/>
      <c r="AL874" s="95"/>
      <c r="AM874" s="95"/>
    </row>
    <row r="875" spans="1:39" ht="12.75" customHeight="1" x14ac:dyDescent="0.2">
      <c r="A875" s="95"/>
      <c r="B875" s="95"/>
      <c r="C875" s="4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  <c r="AE875" s="95"/>
      <c r="AF875" s="95"/>
      <c r="AG875" s="95"/>
      <c r="AH875" s="95"/>
      <c r="AI875" s="95"/>
      <c r="AJ875" s="95"/>
      <c r="AK875" s="95"/>
      <c r="AL875" s="95"/>
      <c r="AM875" s="95"/>
    </row>
    <row r="876" spans="1:39" ht="12.75" customHeight="1" x14ac:dyDescent="0.2">
      <c r="A876" s="95"/>
      <c r="B876" s="95"/>
      <c r="C876" s="4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  <c r="AE876" s="95"/>
      <c r="AF876" s="95"/>
      <c r="AG876" s="95"/>
      <c r="AH876" s="95"/>
      <c r="AI876" s="95"/>
      <c r="AJ876" s="95"/>
      <c r="AK876" s="95"/>
      <c r="AL876" s="95"/>
      <c r="AM876" s="95"/>
    </row>
    <row r="877" spans="1:39" ht="12.75" customHeight="1" x14ac:dyDescent="0.2">
      <c r="A877" s="95"/>
      <c r="B877" s="95"/>
      <c r="C877" s="4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  <c r="AE877" s="95"/>
      <c r="AF877" s="95"/>
      <c r="AG877" s="95"/>
      <c r="AH877" s="95"/>
      <c r="AI877" s="95"/>
      <c r="AJ877" s="95"/>
      <c r="AK877" s="95"/>
      <c r="AL877" s="95"/>
      <c r="AM877" s="95"/>
    </row>
    <row r="878" spans="1:39" ht="12.75" customHeight="1" x14ac:dyDescent="0.2">
      <c r="A878" s="95"/>
      <c r="B878" s="95"/>
      <c r="C878" s="4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  <c r="AE878" s="95"/>
      <c r="AF878" s="95"/>
      <c r="AG878" s="95"/>
      <c r="AH878" s="95"/>
      <c r="AI878" s="95"/>
      <c r="AJ878" s="95"/>
      <c r="AK878" s="95"/>
      <c r="AL878" s="95"/>
      <c r="AM878" s="95"/>
    </row>
    <row r="879" spans="1:39" ht="12.75" customHeight="1" x14ac:dyDescent="0.2">
      <c r="A879" s="95"/>
      <c r="B879" s="95"/>
      <c r="C879" s="4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  <c r="AE879" s="95"/>
      <c r="AF879" s="95"/>
      <c r="AG879" s="95"/>
      <c r="AH879" s="95"/>
      <c r="AI879" s="95"/>
      <c r="AJ879" s="95"/>
      <c r="AK879" s="95"/>
      <c r="AL879" s="95"/>
      <c r="AM879" s="95"/>
    </row>
    <row r="880" spans="1:39" ht="12.75" customHeight="1" x14ac:dyDescent="0.2">
      <c r="A880" s="95"/>
      <c r="B880" s="95"/>
      <c r="C880" s="4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  <c r="AE880" s="95"/>
      <c r="AF880" s="95"/>
      <c r="AG880" s="95"/>
      <c r="AH880" s="95"/>
      <c r="AI880" s="95"/>
      <c r="AJ880" s="95"/>
      <c r="AK880" s="95"/>
      <c r="AL880" s="95"/>
      <c r="AM880" s="95"/>
    </row>
    <row r="881" spans="1:39" ht="12.75" customHeight="1" x14ac:dyDescent="0.2">
      <c r="A881" s="95"/>
      <c r="B881" s="95"/>
      <c r="C881" s="4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  <c r="AE881" s="95"/>
      <c r="AF881" s="95"/>
      <c r="AG881" s="95"/>
      <c r="AH881" s="95"/>
      <c r="AI881" s="95"/>
      <c r="AJ881" s="95"/>
      <c r="AK881" s="95"/>
      <c r="AL881" s="95"/>
      <c r="AM881" s="95"/>
    </row>
    <row r="882" spans="1:39" ht="12.75" customHeight="1" x14ac:dyDescent="0.2">
      <c r="A882" s="95"/>
      <c r="B882" s="95"/>
      <c r="C882" s="4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  <c r="AE882" s="95"/>
      <c r="AF882" s="95"/>
      <c r="AG882" s="95"/>
      <c r="AH882" s="95"/>
      <c r="AI882" s="95"/>
      <c r="AJ882" s="95"/>
      <c r="AK882" s="95"/>
      <c r="AL882" s="95"/>
      <c r="AM882" s="95"/>
    </row>
    <row r="883" spans="1:39" ht="12.75" customHeight="1" x14ac:dyDescent="0.2">
      <c r="A883" s="95"/>
      <c r="B883" s="95"/>
      <c r="C883" s="4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  <c r="AE883" s="95"/>
      <c r="AF883" s="95"/>
      <c r="AG883" s="95"/>
      <c r="AH883" s="95"/>
      <c r="AI883" s="95"/>
      <c r="AJ883" s="95"/>
      <c r="AK883" s="95"/>
      <c r="AL883" s="95"/>
      <c r="AM883" s="95"/>
    </row>
    <row r="884" spans="1:39" ht="12.75" customHeight="1" x14ac:dyDescent="0.2">
      <c r="A884" s="95"/>
      <c r="B884" s="95"/>
      <c r="C884" s="4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  <c r="AE884" s="95"/>
      <c r="AF884" s="95"/>
      <c r="AG884" s="95"/>
      <c r="AH884" s="95"/>
      <c r="AI884" s="95"/>
      <c r="AJ884" s="95"/>
      <c r="AK884" s="95"/>
      <c r="AL884" s="95"/>
      <c r="AM884" s="95"/>
    </row>
    <row r="885" spans="1:39" ht="12.75" customHeight="1" x14ac:dyDescent="0.2">
      <c r="A885" s="95"/>
      <c r="B885" s="95"/>
      <c r="C885" s="4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  <c r="AE885" s="95"/>
      <c r="AF885" s="95"/>
      <c r="AG885" s="95"/>
      <c r="AH885" s="95"/>
      <c r="AI885" s="95"/>
      <c r="AJ885" s="95"/>
      <c r="AK885" s="95"/>
      <c r="AL885" s="95"/>
      <c r="AM885" s="95"/>
    </row>
    <row r="886" spans="1:39" ht="12.75" customHeight="1" x14ac:dyDescent="0.2">
      <c r="A886" s="95"/>
      <c r="B886" s="95"/>
      <c r="C886" s="4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  <c r="AE886" s="95"/>
      <c r="AF886" s="95"/>
      <c r="AG886" s="95"/>
      <c r="AH886" s="95"/>
      <c r="AI886" s="95"/>
      <c r="AJ886" s="95"/>
      <c r="AK886" s="95"/>
      <c r="AL886" s="95"/>
      <c r="AM886" s="95"/>
    </row>
    <row r="887" spans="1:39" ht="12.75" customHeight="1" x14ac:dyDescent="0.2">
      <c r="A887" s="95"/>
      <c r="B887" s="95"/>
      <c r="C887" s="4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  <c r="AE887" s="95"/>
      <c r="AF887" s="95"/>
      <c r="AG887" s="95"/>
      <c r="AH887" s="95"/>
      <c r="AI887" s="95"/>
      <c r="AJ887" s="95"/>
      <c r="AK887" s="95"/>
      <c r="AL887" s="95"/>
      <c r="AM887" s="95"/>
    </row>
    <row r="888" spans="1:39" ht="12.75" customHeight="1" x14ac:dyDescent="0.2">
      <c r="A888" s="95"/>
      <c r="B888" s="95"/>
      <c r="C888" s="4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  <c r="AE888" s="95"/>
      <c r="AF888" s="95"/>
      <c r="AG888" s="95"/>
      <c r="AH888" s="95"/>
      <c r="AI888" s="95"/>
      <c r="AJ888" s="95"/>
      <c r="AK888" s="95"/>
      <c r="AL888" s="95"/>
      <c r="AM888" s="95"/>
    </row>
    <row r="889" spans="1:39" ht="12.75" customHeight="1" x14ac:dyDescent="0.2">
      <c r="A889" s="95"/>
      <c r="B889" s="95"/>
      <c r="C889" s="4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  <c r="AE889" s="95"/>
      <c r="AF889" s="95"/>
      <c r="AG889" s="95"/>
      <c r="AH889" s="95"/>
      <c r="AI889" s="95"/>
      <c r="AJ889" s="95"/>
      <c r="AK889" s="95"/>
      <c r="AL889" s="95"/>
      <c r="AM889" s="95"/>
    </row>
    <row r="890" spans="1:39" ht="12.75" customHeight="1" x14ac:dyDescent="0.2">
      <c r="A890" s="95"/>
      <c r="B890" s="95"/>
      <c r="C890" s="4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  <c r="AE890" s="95"/>
      <c r="AF890" s="95"/>
      <c r="AG890" s="95"/>
      <c r="AH890" s="95"/>
      <c r="AI890" s="95"/>
      <c r="AJ890" s="95"/>
      <c r="AK890" s="95"/>
      <c r="AL890" s="95"/>
      <c r="AM890" s="95"/>
    </row>
    <row r="891" spans="1:39" ht="12.75" customHeight="1" x14ac:dyDescent="0.2">
      <c r="A891" s="95"/>
      <c r="B891" s="95"/>
      <c r="C891" s="4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  <c r="AE891" s="95"/>
      <c r="AF891" s="95"/>
      <c r="AG891" s="95"/>
      <c r="AH891" s="95"/>
      <c r="AI891" s="95"/>
      <c r="AJ891" s="95"/>
      <c r="AK891" s="95"/>
      <c r="AL891" s="95"/>
      <c r="AM891" s="95"/>
    </row>
    <row r="892" spans="1:39" ht="12.75" customHeight="1" x14ac:dyDescent="0.2">
      <c r="A892" s="95"/>
      <c r="B892" s="95"/>
      <c r="C892" s="4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  <c r="AE892" s="95"/>
      <c r="AF892" s="95"/>
      <c r="AG892" s="95"/>
      <c r="AH892" s="95"/>
      <c r="AI892" s="95"/>
      <c r="AJ892" s="95"/>
      <c r="AK892" s="95"/>
      <c r="AL892" s="95"/>
      <c r="AM892" s="95"/>
    </row>
    <row r="893" spans="1:39" ht="12.75" customHeight="1" x14ac:dyDescent="0.2">
      <c r="A893" s="95"/>
      <c r="B893" s="95"/>
      <c r="C893" s="4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  <c r="AE893" s="95"/>
      <c r="AF893" s="95"/>
      <c r="AG893" s="95"/>
      <c r="AH893" s="95"/>
      <c r="AI893" s="95"/>
      <c r="AJ893" s="95"/>
      <c r="AK893" s="95"/>
      <c r="AL893" s="95"/>
      <c r="AM893" s="95"/>
    </row>
    <row r="894" spans="1:39" ht="12.75" customHeight="1" x14ac:dyDescent="0.2">
      <c r="A894" s="95"/>
      <c r="B894" s="95"/>
      <c r="C894" s="4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  <c r="AE894" s="95"/>
      <c r="AF894" s="95"/>
      <c r="AG894" s="95"/>
      <c r="AH894" s="95"/>
      <c r="AI894" s="95"/>
      <c r="AJ894" s="95"/>
      <c r="AK894" s="95"/>
      <c r="AL894" s="95"/>
      <c r="AM894" s="95"/>
    </row>
    <row r="895" spans="1:39" ht="12.75" customHeight="1" x14ac:dyDescent="0.2">
      <c r="A895" s="95"/>
      <c r="B895" s="95"/>
      <c r="C895" s="4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  <c r="AE895" s="95"/>
      <c r="AF895" s="95"/>
      <c r="AG895" s="95"/>
      <c r="AH895" s="95"/>
      <c r="AI895" s="95"/>
      <c r="AJ895" s="95"/>
      <c r="AK895" s="95"/>
      <c r="AL895" s="95"/>
      <c r="AM895" s="95"/>
    </row>
    <row r="896" spans="1:39" ht="12.75" customHeight="1" x14ac:dyDescent="0.2">
      <c r="A896" s="95"/>
      <c r="B896" s="95"/>
      <c r="C896" s="4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  <c r="AE896" s="95"/>
      <c r="AF896" s="95"/>
      <c r="AG896" s="95"/>
      <c r="AH896" s="95"/>
      <c r="AI896" s="95"/>
      <c r="AJ896" s="95"/>
      <c r="AK896" s="95"/>
      <c r="AL896" s="95"/>
      <c r="AM896" s="95"/>
    </row>
    <row r="897" spans="1:39" ht="12.75" customHeight="1" x14ac:dyDescent="0.2">
      <c r="A897" s="95"/>
      <c r="B897" s="95"/>
      <c r="C897" s="4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  <c r="AE897" s="95"/>
      <c r="AF897" s="95"/>
      <c r="AG897" s="95"/>
      <c r="AH897" s="95"/>
      <c r="AI897" s="95"/>
      <c r="AJ897" s="95"/>
      <c r="AK897" s="95"/>
      <c r="AL897" s="95"/>
      <c r="AM897" s="95"/>
    </row>
    <row r="898" spans="1:39" ht="12.75" customHeight="1" x14ac:dyDescent="0.2">
      <c r="A898" s="95"/>
      <c r="B898" s="95"/>
      <c r="C898" s="4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  <c r="AE898" s="95"/>
      <c r="AF898" s="95"/>
      <c r="AG898" s="95"/>
      <c r="AH898" s="95"/>
      <c r="AI898" s="95"/>
      <c r="AJ898" s="95"/>
      <c r="AK898" s="95"/>
      <c r="AL898" s="95"/>
      <c r="AM898" s="95"/>
    </row>
    <row r="899" spans="1:39" ht="12.75" customHeight="1" x14ac:dyDescent="0.2">
      <c r="A899" s="95"/>
      <c r="B899" s="95"/>
      <c r="C899" s="4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  <c r="AE899" s="95"/>
      <c r="AF899" s="95"/>
      <c r="AG899" s="95"/>
      <c r="AH899" s="95"/>
      <c r="AI899" s="95"/>
      <c r="AJ899" s="95"/>
      <c r="AK899" s="95"/>
      <c r="AL899" s="95"/>
      <c r="AM899" s="95"/>
    </row>
    <row r="900" spans="1:39" ht="12.75" customHeight="1" x14ac:dyDescent="0.2">
      <c r="A900" s="95"/>
      <c r="B900" s="95"/>
      <c r="C900" s="4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  <c r="AE900" s="95"/>
      <c r="AF900" s="95"/>
      <c r="AG900" s="95"/>
      <c r="AH900" s="95"/>
      <c r="AI900" s="95"/>
      <c r="AJ900" s="95"/>
      <c r="AK900" s="95"/>
      <c r="AL900" s="95"/>
      <c r="AM900" s="95"/>
    </row>
    <row r="901" spans="1:39" ht="12.75" customHeight="1" x14ac:dyDescent="0.2">
      <c r="A901" s="95"/>
      <c r="B901" s="95"/>
      <c r="C901" s="4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  <c r="AE901" s="95"/>
      <c r="AF901" s="95"/>
      <c r="AG901" s="95"/>
      <c r="AH901" s="95"/>
      <c r="AI901" s="95"/>
      <c r="AJ901" s="95"/>
      <c r="AK901" s="95"/>
      <c r="AL901" s="95"/>
      <c r="AM901" s="95"/>
    </row>
    <row r="902" spans="1:39" ht="12.75" customHeight="1" x14ac:dyDescent="0.2">
      <c r="A902" s="95"/>
      <c r="B902" s="95"/>
      <c r="C902" s="4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  <c r="AE902" s="95"/>
      <c r="AF902" s="95"/>
      <c r="AG902" s="95"/>
      <c r="AH902" s="95"/>
      <c r="AI902" s="95"/>
      <c r="AJ902" s="95"/>
      <c r="AK902" s="95"/>
      <c r="AL902" s="95"/>
      <c r="AM902" s="95"/>
    </row>
    <row r="903" spans="1:39" ht="12.75" customHeight="1" x14ac:dyDescent="0.2">
      <c r="A903" s="95"/>
      <c r="B903" s="95"/>
      <c r="C903" s="4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  <c r="AE903" s="95"/>
      <c r="AF903" s="95"/>
      <c r="AG903" s="95"/>
      <c r="AH903" s="95"/>
      <c r="AI903" s="95"/>
      <c r="AJ903" s="95"/>
      <c r="AK903" s="95"/>
      <c r="AL903" s="95"/>
      <c r="AM903" s="95"/>
    </row>
    <row r="904" spans="1:39" ht="12.75" customHeight="1" x14ac:dyDescent="0.2">
      <c r="A904" s="95"/>
      <c r="B904" s="95"/>
      <c r="C904" s="4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  <c r="AE904" s="95"/>
      <c r="AF904" s="95"/>
      <c r="AG904" s="95"/>
      <c r="AH904" s="95"/>
      <c r="AI904" s="95"/>
      <c r="AJ904" s="95"/>
      <c r="AK904" s="95"/>
      <c r="AL904" s="95"/>
      <c r="AM904" s="95"/>
    </row>
    <row r="905" spans="1:39" ht="12.75" customHeight="1" x14ac:dyDescent="0.2">
      <c r="A905" s="95"/>
      <c r="B905" s="95"/>
      <c r="C905" s="4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  <c r="AE905" s="95"/>
      <c r="AF905" s="95"/>
      <c r="AG905" s="95"/>
      <c r="AH905" s="95"/>
      <c r="AI905" s="95"/>
      <c r="AJ905" s="95"/>
      <c r="AK905" s="95"/>
      <c r="AL905" s="95"/>
      <c r="AM905" s="95"/>
    </row>
    <row r="906" spans="1:39" ht="12.75" customHeight="1" x14ac:dyDescent="0.2">
      <c r="A906" s="95"/>
      <c r="B906" s="95"/>
      <c r="C906" s="4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  <c r="AE906" s="95"/>
      <c r="AF906" s="95"/>
      <c r="AG906" s="95"/>
      <c r="AH906" s="95"/>
      <c r="AI906" s="95"/>
      <c r="AJ906" s="95"/>
      <c r="AK906" s="95"/>
      <c r="AL906" s="95"/>
      <c r="AM906" s="95"/>
    </row>
    <row r="907" spans="1:39" ht="12.75" customHeight="1" x14ac:dyDescent="0.2">
      <c r="A907" s="95"/>
      <c r="B907" s="95"/>
      <c r="C907" s="4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  <c r="AE907" s="95"/>
      <c r="AF907" s="95"/>
      <c r="AG907" s="95"/>
      <c r="AH907" s="95"/>
      <c r="AI907" s="95"/>
      <c r="AJ907" s="95"/>
      <c r="AK907" s="95"/>
      <c r="AL907" s="95"/>
      <c r="AM907" s="95"/>
    </row>
    <row r="908" spans="1:39" ht="12.75" customHeight="1" x14ac:dyDescent="0.2">
      <c r="A908" s="95"/>
      <c r="B908" s="95"/>
      <c r="C908" s="4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  <c r="AE908" s="95"/>
      <c r="AF908" s="95"/>
      <c r="AG908" s="95"/>
      <c r="AH908" s="95"/>
      <c r="AI908" s="95"/>
      <c r="AJ908" s="95"/>
      <c r="AK908" s="95"/>
      <c r="AL908" s="95"/>
      <c r="AM908" s="95"/>
    </row>
    <row r="909" spans="1:39" ht="12.75" customHeight="1" x14ac:dyDescent="0.2">
      <c r="A909" s="95"/>
      <c r="B909" s="95"/>
      <c r="C909" s="4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  <c r="AE909" s="95"/>
      <c r="AF909" s="95"/>
      <c r="AG909" s="95"/>
      <c r="AH909" s="95"/>
      <c r="AI909" s="95"/>
      <c r="AJ909" s="95"/>
      <c r="AK909" s="95"/>
      <c r="AL909" s="95"/>
      <c r="AM909" s="95"/>
    </row>
    <row r="910" spans="1:39" ht="12.75" customHeight="1" x14ac:dyDescent="0.2">
      <c r="A910" s="95"/>
      <c r="B910" s="95"/>
      <c r="C910" s="4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  <c r="AE910" s="95"/>
      <c r="AF910" s="95"/>
      <c r="AG910" s="95"/>
      <c r="AH910" s="95"/>
      <c r="AI910" s="95"/>
      <c r="AJ910" s="95"/>
      <c r="AK910" s="95"/>
      <c r="AL910" s="95"/>
      <c r="AM910" s="95"/>
    </row>
    <row r="911" spans="1:39" ht="12.75" customHeight="1" x14ac:dyDescent="0.2">
      <c r="A911" s="95"/>
      <c r="B911" s="95"/>
      <c r="C911" s="4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  <c r="AE911" s="95"/>
      <c r="AF911" s="95"/>
      <c r="AG911" s="95"/>
      <c r="AH911" s="95"/>
      <c r="AI911" s="95"/>
      <c r="AJ911" s="95"/>
      <c r="AK911" s="95"/>
      <c r="AL911" s="95"/>
      <c r="AM911" s="95"/>
    </row>
    <row r="912" spans="1:39" ht="12.75" customHeight="1" x14ac:dyDescent="0.2">
      <c r="A912" s="95"/>
      <c r="B912" s="95"/>
      <c r="C912" s="4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  <c r="AE912" s="95"/>
      <c r="AF912" s="95"/>
      <c r="AG912" s="95"/>
      <c r="AH912" s="95"/>
      <c r="AI912" s="95"/>
      <c r="AJ912" s="95"/>
      <c r="AK912" s="95"/>
      <c r="AL912" s="95"/>
      <c r="AM912" s="95"/>
    </row>
    <row r="913" spans="1:39" ht="12.75" customHeight="1" x14ac:dyDescent="0.2">
      <c r="A913" s="95"/>
      <c r="B913" s="95"/>
      <c r="C913" s="4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  <c r="AE913" s="95"/>
      <c r="AF913" s="95"/>
      <c r="AG913" s="95"/>
      <c r="AH913" s="95"/>
      <c r="AI913" s="95"/>
      <c r="AJ913" s="95"/>
      <c r="AK913" s="95"/>
      <c r="AL913" s="95"/>
      <c r="AM913" s="95"/>
    </row>
    <row r="914" spans="1:39" ht="12.75" customHeight="1" x14ac:dyDescent="0.2">
      <c r="A914" s="95"/>
      <c r="B914" s="95"/>
      <c r="C914" s="4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  <c r="AE914" s="95"/>
      <c r="AF914" s="95"/>
      <c r="AG914" s="95"/>
      <c r="AH914" s="95"/>
      <c r="AI914" s="95"/>
      <c r="AJ914" s="95"/>
      <c r="AK914" s="95"/>
      <c r="AL914" s="95"/>
      <c r="AM914" s="95"/>
    </row>
    <row r="915" spans="1:39" ht="12.75" customHeight="1" x14ac:dyDescent="0.2">
      <c r="A915" s="95"/>
      <c r="B915" s="95"/>
      <c r="C915" s="4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  <c r="AE915" s="95"/>
      <c r="AF915" s="95"/>
      <c r="AG915" s="95"/>
      <c r="AH915" s="95"/>
      <c r="AI915" s="95"/>
      <c r="AJ915" s="95"/>
      <c r="AK915" s="95"/>
      <c r="AL915" s="95"/>
      <c r="AM915" s="95"/>
    </row>
    <row r="916" spans="1:39" ht="12.75" customHeight="1" x14ac:dyDescent="0.2">
      <c r="A916" s="95"/>
      <c r="B916" s="95"/>
      <c r="C916" s="4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  <c r="AE916" s="95"/>
      <c r="AF916" s="95"/>
      <c r="AG916" s="95"/>
      <c r="AH916" s="95"/>
      <c r="AI916" s="95"/>
      <c r="AJ916" s="95"/>
      <c r="AK916" s="95"/>
      <c r="AL916" s="95"/>
      <c r="AM916" s="95"/>
    </row>
    <row r="917" spans="1:39" ht="12.75" customHeight="1" x14ac:dyDescent="0.2">
      <c r="A917" s="95"/>
      <c r="B917" s="95"/>
      <c r="C917" s="4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  <c r="AE917" s="95"/>
      <c r="AF917" s="95"/>
      <c r="AG917" s="95"/>
      <c r="AH917" s="95"/>
      <c r="AI917" s="95"/>
      <c r="AJ917" s="95"/>
      <c r="AK917" s="95"/>
      <c r="AL917" s="95"/>
      <c r="AM917" s="95"/>
    </row>
    <row r="918" spans="1:39" ht="12.75" customHeight="1" x14ac:dyDescent="0.2">
      <c r="A918" s="95"/>
      <c r="B918" s="95"/>
      <c r="C918" s="4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  <c r="AE918" s="95"/>
      <c r="AF918" s="95"/>
      <c r="AG918" s="95"/>
      <c r="AH918" s="95"/>
      <c r="AI918" s="95"/>
      <c r="AJ918" s="95"/>
      <c r="AK918" s="95"/>
      <c r="AL918" s="95"/>
      <c r="AM918" s="95"/>
    </row>
    <row r="919" spans="1:39" ht="12.75" customHeight="1" x14ac:dyDescent="0.2">
      <c r="A919" s="95"/>
      <c r="B919" s="95"/>
      <c r="C919" s="4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  <c r="AE919" s="95"/>
      <c r="AF919" s="95"/>
      <c r="AG919" s="95"/>
      <c r="AH919" s="95"/>
      <c r="AI919" s="95"/>
      <c r="AJ919" s="95"/>
      <c r="AK919" s="95"/>
      <c r="AL919" s="95"/>
      <c r="AM919" s="95"/>
    </row>
    <row r="920" spans="1:39" ht="12.75" customHeight="1" x14ac:dyDescent="0.2">
      <c r="A920" s="95"/>
      <c r="B920" s="95"/>
      <c r="C920" s="4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  <c r="AE920" s="95"/>
      <c r="AF920" s="95"/>
      <c r="AG920" s="95"/>
      <c r="AH920" s="95"/>
      <c r="AI920" s="95"/>
      <c r="AJ920" s="95"/>
      <c r="AK920" s="95"/>
      <c r="AL920" s="95"/>
      <c r="AM920" s="95"/>
    </row>
    <row r="921" spans="1:39" ht="12.75" customHeight="1" x14ac:dyDescent="0.2">
      <c r="A921" s="95"/>
      <c r="B921" s="95"/>
      <c r="C921" s="4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  <c r="AE921" s="95"/>
      <c r="AF921" s="95"/>
      <c r="AG921" s="95"/>
      <c r="AH921" s="95"/>
      <c r="AI921" s="95"/>
      <c r="AJ921" s="95"/>
      <c r="AK921" s="95"/>
      <c r="AL921" s="95"/>
      <c r="AM921" s="95"/>
    </row>
    <row r="922" spans="1:39" ht="12.75" customHeight="1" x14ac:dyDescent="0.2">
      <c r="A922" s="95"/>
      <c r="B922" s="95"/>
      <c r="C922" s="4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  <c r="AE922" s="95"/>
      <c r="AF922" s="95"/>
      <c r="AG922" s="95"/>
      <c r="AH922" s="95"/>
      <c r="AI922" s="95"/>
      <c r="AJ922" s="95"/>
      <c r="AK922" s="95"/>
      <c r="AL922" s="95"/>
      <c r="AM922" s="95"/>
    </row>
    <row r="923" spans="1:39" ht="12.75" customHeight="1" x14ac:dyDescent="0.2">
      <c r="A923" s="95"/>
      <c r="B923" s="95"/>
      <c r="C923" s="4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  <c r="AE923" s="95"/>
      <c r="AF923" s="95"/>
      <c r="AG923" s="95"/>
      <c r="AH923" s="95"/>
      <c r="AI923" s="95"/>
      <c r="AJ923" s="95"/>
      <c r="AK923" s="95"/>
      <c r="AL923" s="95"/>
      <c r="AM923" s="95"/>
    </row>
    <row r="924" spans="1:39" ht="12.75" customHeight="1" x14ac:dyDescent="0.2">
      <c r="A924" s="95"/>
      <c r="B924" s="95"/>
      <c r="C924" s="4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  <c r="AE924" s="95"/>
      <c r="AF924" s="95"/>
      <c r="AG924" s="95"/>
      <c r="AH924" s="95"/>
      <c r="AI924" s="95"/>
      <c r="AJ924" s="95"/>
      <c r="AK924" s="95"/>
      <c r="AL924" s="95"/>
      <c r="AM924" s="95"/>
    </row>
    <row r="925" spans="1:39" ht="12.75" customHeight="1" x14ac:dyDescent="0.2">
      <c r="A925" s="95"/>
      <c r="B925" s="95"/>
      <c r="C925" s="4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  <c r="AE925" s="95"/>
      <c r="AF925" s="95"/>
      <c r="AG925" s="95"/>
      <c r="AH925" s="95"/>
      <c r="AI925" s="95"/>
      <c r="AJ925" s="95"/>
      <c r="AK925" s="95"/>
      <c r="AL925" s="95"/>
      <c r="AM925" s="95"/>
    </row>
    <row r="926" spans="1:39" ht="12.75" customHeight="1" x14ac:dyDescent="0.2">
      <c r="A926" s="95"/>
      <c r="B926" s="95"/>
      <c r="C926" s="4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  <c r="AE926" s="95"/>
      <c r="AF926" s="95"/>
      <c r="AG926" s="95"/>
      <c r="AH926" s="95"/>
      <c r="AI926" s="95"/>
      <c r="AJ926" s="95"/>
      <c r="AK926" s="95"/>
      <c r="AL926" s="95"/>
      <c r="AM926" s="95"/>
    </row>
    <row r="927" spans="1:39" ht="12.75" customHeight="1" x14ac:dyDescent="0.2">
      <c r="A927" s="95"/>
      <c r="B927" s="95"/>
      <c r="C927" s="4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  <c r="AE927" s="95"/>
      <c r="AF927" s="95"/>
      <c r="AG927" s="95"/>
      <c r="AH927" s="95"/>
      <c r="AI927" s="95"/>
      <c r="AJ927" s="95"/>
      <c r="AK927" s="95"/>
      <c r="AL927" s="95"/>
      <c r="AM927" s="95"/>
    </row>
    <row r="928" spans="1:39" ht="12.75" customHeight="1" x14ac:dyDescent="0.2">
      <c r="A928" s="95"/>
      <c r="B928" s="95"/>
      <c r="C928" s="4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  <c r="AE928" s="95"/>
      <c r="AF928" s="95"/>
      <c r="AG928" s="95"/>
      <c r="AH928" s="95"/>
      <c r="AI928" s="95"/>
      <c r="AJ928" s="95"/>
      <c r="AK928" s="95"/>
      <c r="AL928" s="95"/>
      <c r="AM928" s="95"/>
    </row>
    <row r="929" spans="1:39" ht="12.75" customHeight="1" x14ac:dyDescent="0.2">
      <c r="A929" s="95"/>
      <c r="B929" s="95"/>
      <c r="C929" s="4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  <c r="AE929" s="95"/>
      <c r="AF929" s="95"/>
      <c r="AG929" s="95"/>
      <c r="AH929" s="95"/>
      <c r="AI929" s="95"/>
      <c r="AJ929" s="95"/>
      <c r="AK929" s="95"/>
      <c r="AL929" s="95"/>
      <c r="AM929" s="95"/>
    </row>
    <row r="930" spans="1:39" ht="12.75" customHeight="1" x14ac:dyDescent="0.2">
      <c r="A930" s="95"/>
      <c r="B930" s="95"/>
      <c r="C930" s="4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  <c r="AE930" s="95"/>
      <c r="AF930" s="95"/>
      <c r="AG930" s="95"/>
      <c r="AH930" s="95"/>
      <c r="AI930" s="95"/>
      <c r="AJ930" s="95"/>
      <c r="AK930" s="95"/>
      <c r="AL930" s="95"/>
      <c r="AM930" s="95"/>
    </row>
    <row r="931" spans="1:39" ht="12.75" customHeight="1" x14ac:dyDescent="0.2">
      <c r="A931" s="95"/>
      <c r="B931" s="95"/>
      <c r="C931" s="4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  <c r="AE931" s="95"/>
      <c r="AF931" s="95"/>
      <c r="AG931" s="95"/>
      <c r="AH931" s="95"/>
      <c r="AI931" s="95"/>
      <c r="AJ931" s="95"/>
      <c r="AK931" s="95"/>
      <c r="AL931" s="95"/>
      <c r="AM931" s="95"/>
    </row>
    <row r="932" spans="1:39" ht="12.75" customHeight="1" x14ac:dyDescent="0.2">
      <c r="A932" s="95"/>
      <c r="B932" s="95"/>
      <c r="C932" s="4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  <c r="AE932" s="95"/>
      <c r="AF932" s="95"/>
      <c r="AG932" s="95"/>
      <c r="AH932" s="95"/>
      <c r="AI932" s="95"/>
      <c r="AJ932" s="95"/>
      <c r="AK932" s="95"/>
      <c r="AL932" s="95"/>
      <c r="AM932" s="95"/>
    </row>
    <row r="933" spans="1:39" ht="12.75" customHeight="1" x14ac:dyDescent="0.2">
      <c r="A933" s="95"/>
      <c r="B933" s="95"/>
      <c r="C933" s="4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  <c r="AE933" s="95"/>
      <c r="AF933" s="95"/>
      <c r="AG933" s="95"/>
      <c r="AH933" s="95"/>
      <c r="AI933" s="95"/>
      <c r="AJ933" s="95"/>
      <c r="AK933" s="95"/>
      <c r="AL933" s="95"/>
      <c r="AM933" s="95"/>
    </row>
    <row r="934" spans="1:39" ht="12.75" customHeight="1" x14ac:dyDescent="0.2">
      <c r="A934" s="95"/>
      <c r="B934" s="95"/>
      <c r="C934" s="4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  <c r="AE934" s="95"/>
      <c r="AF934" s="95"/>
      <c r="AG934" s="95"/>
      <c r="AH934" s="95"/>
      <c r="AI934" s="95"/>
      <c r="AJ934" s="95"/>
      <c r="AK934" s="95"/>
      <c r="AL934" s="95"/>
      <c r="AM934" s="95"/>
    </row>
    <row r="935" spans="1:39" ht="12.75" customHeight="1" x14ac:dyDescent="0.2">
      <c r="A935" s="95"/>
      <c r="B935" s="95"/>
      <c r="C935" s="4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  <c r="AE935" s="95"/>
      <c r="AF935" s="95"/>
      <c r="AG935" s="95"/>
      <c r="AH935" s="95"/>
      <c r="AI935" s="95"/>
      <c r="AJ935" s="95"/>
      <c r="AK935" s="95"/>
      <c r="AL935" s="95"/>
      <c r="AM935" s="95"/>
    </row>
    <row r="936" spans="1:39" ht="12.75" customHeight="1" x14ac:dyDescent="0.2">
      <c r="A936" s="95"/>
      <c r="B936" s="95"/>
      <c r="C936" s="4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  <c r="AE936" s="95"/>
      <c r="AF936" s="95"/>
      <c r="AG936" s="95"/>
      <c r="AH936" s="95"/>
      <c r="AI936" s="95"/>
      <c r="AJ936" s="95"/>
      <c r="AK936" s="95"/>
      <c r="AL936" s="95"/>
      <c r="AM936" s="95"/>
    </row>
    <row r="937" spans="1:39" ht="12.75" customHeight="1" x14ac:dyDescent="0.2">
      <c r="A937" s="95"/>
      <c r="B937" s="95"/>
      <c r="C937" s="4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  <c r="AE937" s="95"/>
      <c r="AF937" s="95"/>
      <c r="AG937" s="95"/>
      <c r="AH937" s="95"/>
      <c r="AI937" s="95"/>
      <c r="AJ937" s="95"/>
      <c r="AK937" s="95"/>
      <c r="AL937" s="95"/>
      <c r="AM937" s="95"/>
    </row>
    <row r="938" spans="1:39" ht="12.75" customHeight="1" x14ac:dyDescent="0.2">
      <c r="A938" s="95"/>
      <c r="B938" s="95"/>
      <c r="C938" s="4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  <c r="AE938" s="95"/>
      <c r="AF938" s="95"/>
      <c r="AG938" s="95"/>
      <c r="AH938" s="95"/>
      <c r="AI938" s="95"/>
      <c r="AJ938" s="95"/>
      <c r="AK938" s="95"/>
      <c r="AL938" s="95"/>
      <c r="AM938" s="95"/>
    </row>
    <row r="939" spans="1:39" ht="12.75" customHeight="1" x14ac:dyDescent="0.2">
      <c r="A939" s="95"/>
      <c r="B939" s="95"/>
      <c r="C939" s="4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  <c r="AE939" s="95"/>
      <c r="AF939" s="95"/>
      <c r="AG939" s="95"/>
      <c r="AH939" s="95"/>
      <c r="AI939" s="95"/>
      <c r="AJ939" s="95"/>
      <c r="AK939" s="95"/>
      <c r="AL939" s="95"/>
      <c r="AM939" s="95"/>
    </row>
    <row r="940" spans="1:39" ht="12.75" customHeight="1" x14ac:dyDescent="0.2">
      <c r="A940" s="95"/>
      <c r="B940" s="95"/>
      <c r="C940" s="4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  <c r="AE940" s="95"/>
      <c r="AF940" s="95"/>
      <c r="AG940" s="95"/>
      <c r="AH940" s="95"/>
      <c r="AI940" s="95"/>
      <c r="AJ940" s="95"/>
      <c r="AK940" s="95"/>
      <c r="AL940" s="95"/>
      <c r="AM940" s="95"/>
    </row>
    <row r="941" spans="1:39" ht="12.75" customHeight="1" x14ac:dyDescent="0.2">
      <c r="A941" s="95"/>
      <c r="B941" s="95"/>
      <c r="C941" s="4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  <c r="AE941" s="95"/>
      <c r="AF941" s="95"/>
      <c r="AG941" s="95"/>
      <c r="AH941" s="95"/>
      <c r="AI941" s="95"/>
      <c r="AJ941" s="95"/>
      <c r="AK941" s="95"/>
      <c r="AL941" s="95"/>
      <c r="AM941" s="95"/>
    </row>
    <row r="942" spans="1:39" ht="12.75" customHeight="1" x14ac:dyDescent="0.2">
      <c r="A942" s="95"/>
      <c r="B942" s="95"/>
      <c r="C942" s="4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  <c r="AE942" s="95"/>
      <c r="AF942" s="95"/>
      <c r="AG942" s="95"/>
      <c r="AH942" s="95"/>
      <c r="AI942" s="95"/>
      <c r="AJ942" s="95"/>
      <c r="AK942" s="95"/>
      <c r="AL942" s="95"/>
      <c r="AM942" s="95"/>
    </row>
    <row r="943" spans="1:39" ht="12.75" customHeight="1" x14ac:dyDescent="0.2">
      <c r="A943" s="95"/>
      <c r="B943" s="95"/>
      <c r="C943" s="4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  <c r="AE943" s="95"/>
      <c r="AF943" s="95"/>
      <c r="AG943" s="95"/>
      <c r="AH943" s="95"/>
      <c r="AI943" s="95"/>
      <c r="AJ943" s="95"/>
      <c r="AK943" s="95"/>
      <c r="AL943" s="95"/>
      <c r="AM943" s="95"/>
    </row>
    <row r="944" spans="1:39" ht="12.75" customHeight="1" x14ac:dyDescent="0.2">
      <c r="A944" s="95"/>
      <c r="B944" s="95"/>
      <c r="C944" s="4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  <c r="AE944" s="95"/>
      <c r="AF944" s="95"/>
      <c r="AG944" s="95"/>
      <c r="AH944" s="95"/>
      <c r="AI944" s="95"/>
      <c r="AJ944" s="95"/>
      <c r="AK944" s="95"/>
      <c r="AL944" s="95"/>
      <c r="AM944" s="95"/>
    </row>
    <row r="945" spans="1:39" ht="12.75" customHeight="1" x14ac:dyDescent="0.2">
      <c r="A945" s="95"/>
      <c r="B945" s="95"/>
      <c r="C945" s="4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  <c r="AE945" s="95"/>
      <c r="AF945" s="95"/>
      <c r="AG945" s="95"/>
      <c r="AH945" s="95"/>
      <c r="AI945" s="95"/>
      <c r="AJ945" s="95"/>
      <c r="AK945" s="95"/>
      <c r="AL945" s="95"/>
      <c r="AM945" s="95"/>
    </row>
    <row r="946" spans="1:39" ht="12.75" customHeight="1" x14ac:dyDescent="0.2">
      <c r="A946" s="95"/>
      <c r="B946" s="95"/>
      <c r="C946" s="4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  <c r="AE946" s="95"/>
      <c r="AF946" s="95"/>
      <c r="AG946" s="95"/>
      <c r="AH946" s="95"/>
      <c r="AI946" s="95"/>
      <c r="AJ946" s="95"/>
      <c r="AK946" s="95"/>
      <c r="AL946" s="95"/>
      <c r="AM946" s="95"/>
    </row>
    <row r="947" spans="1:39" ht="12.75" customHeight="1" x14ac:dyDescent="0.2">
      <c r="A947" s="95"/>
      <c r="B947" s="95"/>
      <c r="C947" s="4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  <c r="AE947" s="95"/>
      <c r="AF947" s="95"/>
      <c r="AG947" s="95"/>
      <c r="AH947" s="95"/>
      <c r="AI947" s="95"/>
      <c r="AJ947" s="95"/>
      <c r="AK947" s="95"/>
      <c r="AL947" s="95"/>
      <c r="AM947" s="95"/>
    </row>
    <row r="948" spans="1:39" ht="12.75" customHeight="1" x14ac:dyDescent="0.2">
      <c r="A948" s="95"/>
      <c r="B948" s="95"/>
      <c r="C948" s="4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  <c r="AE948" s="95"/>
      <c r="AF948" s="95"/>
      <c r="AG948" s="95"/>
      <c r="AH948" s="95"/>
      <c r="AI948" s="95"/>
      <c r="AJ948" s="95"/>
      <c r="AK948" s="95"/>
      <c r="AL948" s="95"/>
      <c r="AM948" s="95"/>
    </row>
    <row r="949" spans="1:39" ht="12.75" customHeight="1" x14ac:dyDescent="0.2">
      <c r="A949" s="95"/>
      <c r="B949" s="95"/>
      <c r="C949" s="4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  <c r="AE949" s="95"/>
      <c r="AF949" s="95"/>
      <c r="AG949" s="95"/>
      <c r="AH949" s="95"/>
      <c r="AI949" s="95"/>
      <c r="AJ949" s="95"/>
      <c r="AK949" s="95"/>
      <c r="AL949" s="95"/>
      <c r="AM949" s="95"/>
    </row>
    <row r="950" spans="1:39" ht="12.75" customHeight="1" x14ac:dyDescent="0.2">
      <c r="A950" s="95"/>
      <c r="B950" s="95"/>
      <c r="C950" s="4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  <c r="AE950" s="95"/>
      <c r="AF950" s="95"/>
      <c r="AG950" s="95"/>
      <c r="AH950" s="95"/>
      <c r="AI950" s="95"/>
      <c r="AJ950" s="95"/>
      <c r="AK950" s="95"/>
      <c r="AL950" s="95"/>
      <c r="AM950" s="95"/>
    </row>
    <row r="951" spans="1:39" ht="12.75" customHeight="1" x14ac:dyDescent="0.2">
      <c r="A951" s="95"/>
      <c r="B951" s="95"/>
      <c r="C951" s="4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  <c r="AE951" s="95"/>
      <c r="AF951" s="95"/>
      <c r="AG951" s="95"/>
      <c r="AH951" s="95"/>
      <c r="AI951" s="95"/>
      <c r="AJ951" s="95"/>
      <c r="AK951" s="95"/>
      <c r="AL951" s="95"/>
      <c r="AM951" s="95"/>
    </row>
    <row r="952" spans="1:39" ht="12.75" customHeight="1" x14ac:dyDescent="0.2">
      <c r="A952" s="95"/>
      <c r="B952" s="95"/>
      <c r="C952" s="4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  <c r="AE952" s="95"/>
      <c r="AF952" s="95"/>
      <c r="AG952" s="95"/>
      <c r="AH952" s="95"/>
      <c r="AI952" s="95"/>
      <c r="AJ952" s="95"/>
      <c r="AK952" s="95"/>
      <c r="AL952" s="95"/>
      <c r="AM952" s="95"/>
    </row>
    <row r="953" spans="1:39" ht="12.75" customHeight="1" x14ac:dyDescent="0.2">
      <c r="A953" s="95"/>
      <c r="B953" s="95"/>
      <c r="C953" s="4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  <c r="AE953" s="95"/>
      <c r="AF953" s="95"/>
      <c r="AG953" s="95"/>
      <c r="AH953" s="95"/>
      <c r="AI953" s="95"/>
      <c r="AJ953" s="95"/>
      <c r="AK953" s="95"/>
      <c r="AL953" s="95"/>
      <c r="AM953" s="95"/>
    </row>
    <row r="954" spans="1:39" ht="12.75" customHeight="1" x14ac:dyDescent="0.2">
      <c r="A954" s="95"/>
      <c r="B954" s="95"/>
      <c r="C954" s="4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  <c r="AE954" s="95"/>
      <c r="AF954" s="95"/>
      <c r="AG954" s="95"/>
      <c r="AH954" s="95"/>
      <c r="AI954" s="95"/>
      <c r="AJ954" s="95"/>
      <c r="AK954" s="95"/>
      <c r="AL954" s="95"/>
      <c r="AM954" s="95"/>
    </row>
    <row r="955" spans="1:39" ht="12.75" customHeight="1" x14ac:dyDescent="0.2">
      <c r="A955" s="95"/>
      <c r="B955" s="95"/>
      <c r="C955" s="4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  <c r="AE955" s="95"/>
      <c r="AF955" s="95"/>
      <c r="AG955" s="95"/>
      <c r="AH955" s="95"/>
      <c r="AI955" s="95"/>
      <c r="AJ955" s="95"/>
      <c r="AK955" s="95"/>
      <c r="AL955" s="95"/>
      <c r="AM955" s="95"/>
    </row>
    <row r="956" spans="1:39" ht="12.75" customHeight="1" x14ac:dyDescent="0.2">
      <c r="A956" s="95"/>
      <c r="B956" s="95"/>
      <c r="C956" s="4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  <c r="AE956" s="95"/>
      <c r="AF956" s="95"/>
      <c r="AG956" s="95"/>
      <c r="AH956" s="95"/>
      <c r="AI956" s="95"/>
      <c r="AJ956" s="95"/>
      <c r="AK956" s="95"/>
      <c r="AL956" s="95"/>
      <c r="AM956" s="95"/>
    </row>
    <row r="957" spans="1:39" ht="12.75" customHeight="1" x14ac:dyDescent="0.2">
      <c r="A957" s="95"/>
      <c r="B957" s="95"/>
      <c r="C957" s="4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  <c r="AE957" s="95"/>
      <c r="AF957" s="95"/>
      <c r="AG957" s="95"/>
      <c r="AH957" s="95"/>
      <c r="AI957" s="95"/>
      <c r="AJ957" s="95"/>
      <c r="AK957" s="95"/>
      <c r="AL957" s="95"/>
      <c r="AM957" s="95"/>
    </row>
    <row r="958" spans="1:39" ht="12.75" customHeight="1" x14ac:dyDescent="0.2">
      <c r="A958" s="95"/>
      <c r="B958" s="95"/>
      <c r="C958" s="4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  <c r="AE958" s="95"/>
      <c r="AF958" s="95"/>
      <c r="AG958" s="95"/>
      <c r="AH958" s="95"/>
      <c r="AI958" s="95"/>
      <c r="AJ958" s="95"/>
      <c r="AK958" s="95"/>
      <c r="AL958" s="95"/>
      <c r="AM958" s="95"/>
    </row>
    <row r="959" spans="1:39" ht="12.75" customHeight="1" x14ac:dyDescent="0.2">
      <c r="A959" s="95"/>
      <c r="B959" s="95"/>
      <c r="C959" s="4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  <c r="AE959" s="95"/>
      <c r="AF959" s="95"/>
      <c r="AG959" s="95"/>
      <c r="AH959" s="95"/>
      <c r="AI959" s="95"/>
      <c r="AJ959" s="95"/>
      <c r="AK959" s="95"/>
      <c r="AL959" s="95"/>
      <c r="AM959" s="95"/>
    </row>
    <row r="960" spans="1:39" ht="12.75" customHeight="1" x14ac:dyDescent="0.2">
      <c r="A960" s="95"/>
      <c r="B960" s="95"/>
      <c r="C960" s="4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  <c r="AE960" s="95"/>
      <c r="AF960" s="95"/>
      <c r="AG960" s="95"/>
      <c r="AH960" s="95"/>
      <c r="AI960" s="95"/>
      <c r="AJ960" s="95"/>
      <c r="AK960" s="95"/>
      <c r="AL960" s="95"/>
      <c r="AM960" s="95"/>
    </row>
    <row r="961" spans="1:39" ht="12.75" customHeight="1" x14ac:dyDescent="0.2">
      <c r="A961" s="95"/>
      <c r="B961" s="95"/>
      <c r="C961" s="4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  <c r="AE961" s="95"/>
      <c r="AF961" s="95"/>
      <c r="AG961" s="95"/>
      <c r="AH961" s="95"/>
      <c r="AI961" s="95"/>
      <c r="AJ961" s="95"/>
      <c r="AK961" s="95"/>
      <c r="AL961" s="95"/>
      <c r="AM961" s="95"/>
    </row>
    <row r="962" spans="1:39" ht="12.75" customHeight="1" x14ac:dyDescent="0.2">
      <c r="A962" s="95"/>
      <c r="B962" s="95"/>
      <c r="C962" s="4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  <c r="AE962" s="95"/>
      <c r="AF962" s="95"/>
      <c r="AG962" s="95"/>
      <c r="AH962" s="95"/>
      <c r="AI962" s="95"/>
      <c r="AJ962" s="95"/>
      <c r="AK962" s="95"/>
      <c r="AL962" s="95"/>
      <c r="AM962" s="95"/>
    </row>
    <row r="963" spans="1:39" ht="12.75" customHeight="1" x14ac:dyDescent="0.2">
      <c r="A963" s="95"/>
      <c r="B963" s="95"/>
      <c r="C963" s="4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  <c r="AE963" s="95"/>
      <c r="AF963" s="95"/>
      <c r="AG963" s="95"/>
      <c r="AH963" s="95"/>
      <c r="AI963" s="95"/>
      <c r="AJ963" s="95"/>
      <c r="AK963" s="95"/>
      <c r="AL963" s="95"/>
      <c r="AM963" s="95"/>
    </row>
    <row r="964" spans="1:39" ht="12.75" customHeight="1" x14ac:dyDescent="0.2">
      <c r="A964" s="95"/>
      <c r="B964" s="95"/>
      <c r="C964" s="4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  <c r="AE964" s="95"/>
      <c r="AF964" s="95"/>
      <c r="AG964" s="95"/>
      <c r="AH964" s="95"/>
      <c r="AI964" s="95"/>
      <c r="AJ964" s="95"/>
      <c r="AK964" s="95"/>
      <c r="AL964" s="95"/>
      <c r="AM964" s="95"/>
    </row>
    <row r="965" spans="1:39" ht="12.75" customHeight="1" x14ac:dyDescent="0.2">
      <c r="A965" s="95"/>
      <c r="B965" s="95"/>
      <c r="C965" s="4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  <c r="AE965" s="95"/>
      <c r="AF965" s="95"/>
      <c r="AG965" s="95"/>
      <c r="AH965" s="95"/>
      <c r="AI965" s="95"/>
      <c r="AJ965" s="95"/>
      <c r="AK965" s="95"/>
      <c r="AL965" s="95"/>
      <c r="AM965" s="95"/>
    </row>
    <row r="966" spans="1:39" ht="12.75" customHeight="1" x14ac:dyDescent="0.2">
      <c r="A966" s="95"/>
      <c r="B966" s="95"/>
      <c r="C966" s="4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  <c r="AE966" s="95"/>
      <c r="AF966" s="95"/>
      <c r="AG966" s="95"/>
      <c r="AH966" s="95"/>
      <c r="AI966" s="95"/>
      <c r="AJ966" s="95"/>
      <c r="AK966" s="95"/>
      <c r="AL966" s="95"/>
      <c r="AM966" s="95"/>
    </row>
    <row r="967" spans="1:39" ht="12.75" customHeight="1" x14ac:dyDescent="0.2">
      <c r="A967" s="95"/>
      <c r="B967" s="95"/>
      <c r="C967" s="4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  <c r="AE967" s="95"/>
      <c r="AF967" s="95"/>
      <c r="AG967" s="95"/>
      <c r="AH967" s="95"/>
      <c r="AI967" s="95"/>
      <c r="AJ967" s="95"/>
      <c r="AK967" s="95"/>
      <c r="AL967" s="95"/>
      <c r="AM967" s="95"/>
    </row>
    <row r="968" spans="1:39" ht="12.75" customHeight="1" x14ac:dyDescent="0.2">
      <c r="A968" s="95"/>
      <c r="B968" s="95"/>
      <c r="C968" s="4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  <c r="AE968" s="95"/>
      <c r="AF968" s="95"/>
      <c r="AG968" s="95"/>
      <c r="AH968" s="95"/>
      <c r="AI968" s="95"/>
      <c r="AJ968" s="95"/>
      <c r="AK968" s="95"/>
      <c r="AL968" s="95"/>
      <c r="AM968" s="95"/>
    </row>
    <row r="969" spans="1:39" ht="12.75" customHeight="1" x14ac:dyDescent="0.2">
      <c r="A969" s="95"/>
      <c r="B969" s="95"/>
      <c r="C969" s="4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  <c r="AE969" s="95"/>
      <c r="AF969" s="95"/>
      <c r="AG969" s="95"/>
      <c r="AH969" s="95"/>
      <c r="AI969" s="95"/>
      <c r="AJ969" s="95"/>
      <c r="AK969" s="95"/>
      <c r="AL969" s="95"/>
      <c r="AM969" s="95"/>
    </row>
    <row r="970" spans="1:39" ht="12.75" customHeight="1" x14ac:dyDescent="0.2">
      <c r="A970" s="95"/>
      <c r="B970" s="95"/>
      <c r="C970" s="4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  <c r="AE970" s="95"/>
      <c r="AF970" s="95"/>
      <c r="AG970" s="95"/>
      <c r="AH970" s="95"/>
      <c r="AI970" s="95"/>
      <c r="AJ970" s="95"/>
      <c r="AK970" s="95"/>
      <c r="AL970" s="95"/>
      <c r="AM970" s="95"/>
    </row>
    <row r="971" spans="1:39" ht="12.75" customHeight="1" x14ac:dyDescent="0.2">
      <c r="A971" s="95"/>
      <c r="B971" s="95"/>
      <c r="C971" s="4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  <c r="AE971" s="95"/>
      <c r="AF971" s="95"/>
      <c r="AG971" s="95"/>
      <c r="AH971" s="95"/>
      <c r="AI971" s="95"/>
      <c r="AJ971" s="95"/>
      <c r="AK971" s="95"/>
      <c r="AL971" s="95"/>
      <c r="AM971" s="95"/>
    </row>
    <row r="972" spans="1:39" ht="12.75" customHeight="1" x14ac:dyDescent="0.2">
      <c r="A972" s="95"/>
      <c r="B972" s="95"/>
      <c r="C972" s="4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  <c r="AE972" s="95"/>
      <c r="AF972" s="95"/>
      <c r="AG972" s="95"/>
      <c r="AH972" s="95"/>
      <c r="AI972" s="95"/>
      <c r="AJ972" s="95"/>
      <c r="AK972" s="95"/>
      <c r="AL972" s="95"/>
      <c r="AM972" s="95"/>
    </row>
    <row r="973" spans="1:39" ht="12.75" customHeight="1" x14ac:dyDescent="0.2">
      <c r="A973" s="95"/>
      <c r="B973" s="95"/>
      <c r="C973" s="4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  <c r="AE973" s="95"/>
      <c r="AF973" s="95"/>
      <c r="AG973" s="95"/>
      <c r="AH973" s="95"/>
      <c r="AI973" s="95"/>
      <c r="AJ973" s="95"/>
      <c r="AK973" s="95"/>
      <c r="AL973" s="95"/>
      <c r="AM973" s="95"/>
    </row>
    <row r="974" spans="1:39" ht="12.75" customHeight="1" x14ac:dyDescent="0.2">
      <c r="A974" s="95"/>
      <c r="B974" s="95"/>
      <c r="C974" s="4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  <c r="AE974" s="95"/>
      <c r="AF974" s="95"/>
      <c r="AG974" s="95"/>
      <c r="AH974" s="95"/>
      <c r="AI974" s="95"/>
      <c r="AJ974" s="95"/>
      <c r="AK974" s="95"/>
      <c r="AL974" s="95"/>
      <c r="AM974" s="95"/>
    </row>
    <row r="975" spans="1:39" ht="12.75" customHeight="1" x14ac:dyDescent="0.2">
      <c r="A975" s="95"/>
      <c r="B975" s="95"/>
      <c r="C975" s="4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  <c r="AE975" s="95"/>
      <c r="AF975" s="95"/>
      <c r="AG975" s="95"/>
      <c r="AH975" s="95"/>
      <c r="AI975" s="95"/>
      <c r="AJ975" s="95"/>
      <c r="AK975" s="95"/>
      <c r="AL975" s="95"/>
      <c r="AM975" s="95"/>
    </row>
    <row r="976" spans="1:39" ht="12.75" customHeight="1" x14ac:dyDescent="0.2">
      <c r="A976" s="95"/>
      <c r="B976" s="95"/>
      <c r="C976" s="4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  <c r="AE976" s="95"/>
      <c r="AF976" s="95"/>
      <c r="AG976" s="95"/>
      <c r="AH976" s="95"/>
      <c r="AI976" s="95"/>
      <c r="AJ976" s="95"/>
      <c r="AK976" s="95"/>
      <c r="AL976" s="95"/>
      <c r="AM976" s="95"/>
    </row>
    <row r="977" spans="1:39" ht="12.75" customHeight="1" x14ac:dyDescent="0.2">
      <c r="A977" s="95"/>
      <c r="B977" s="95"/>
      <c r="C977" s="4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  <c r="AE977" s="95"/>
      <c r="AF977" s="95"/>
      <c r="AG977" s="95"/>
      <c r="AH977" s="95"/>
      <c r="AI977" s="95"/>
      <c r="AJ977" s="95"/>
      <c r="AK977" s="95"/>
      <c r="AL977" s="95"/>
      <c r="AM977" s="95"/>
    </row>
    <row r="978" spans="1:39" ht="12.75" customHeight="1" x14ac:dyDescent="0.2">
      <c r="A978" s="95"/>
      <c r="B978" s="95"/>
      <c r="C978" s="4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  <c r="AE978" s="95"/>
      <c r="AF978" s="95"/>
      <c r="AG978" s="95"/>
      <c r="AH978" s="95"/>
      <c r="AI978" s="95"/>
      <c r="AJ978" s="95"/>
      <c r="AK978" s="95"/>
      <c r="AL978" s="95"/>
      <c r="AM978" s="95"/>
    </row>
    <row r="979" spans="1:39" ht="12.75" customHeight="1" x14ac:dyDescent="0.2">
      <c r="A979" s="95"/>
      <c r="B979" s="95"/>
      <c r="C979" s="4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  <c r="AE979" s="95"/>
      <c r="AF979" s="95"/>
      <c r="AG979" s="95"/>
      <c r="AH979" s="95"/>
      <c r="AI979" s="95"/>
      <c r="AJ979" s="95"/>
      <c r="AK979" s="95"/>
      <c r="AL979" s="95"/>
      <c r="AM979" s="95"/>
    </row>
    <row r="980" spans="1:39" ht="12.75" customHeight="1" x14ac:dyDescent="0.2">
      <c r="A980" s="95"/>
      <c r="B980" s="95"/>
      <c r="C980" s="4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  <c r="AE980" s="95"/>
      <c r="AF980" s="95"/>
      <c r="AG980" s="95"/>
      <c r="AH980" s="95"/>
      <c r="AI980" s="95"/>
      <c r="AJ980" s="95"/>
      <c r="AK980" s="95"/>
      <c r="AL980" s="95"/>
      <c r="AM980" s="95"/>
    </row>
    <row r="981" spans="1:39" ht="12.75" customHeight="1" x14ac:dyDescent="0.2">
      <c r="A981" s="95"/>
      <c r="B981" s="95"/>
      <c r="C981" s="4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  <c r="AE981" s="95"/>
      <c r="AF981" s="95"/>
      <c r="AG981" s="95"/>
      <c r="AH981" s="95"/>
      <c r="AI981" s="95"/>
      <c r="AJ981" s="95"/>
      <c r="AK981" s="95"/>
      <c r="AL981" s="95"/>
      <c r="AM981" s="95"/>
    </row>
    <row r="982" spans="1:39" ht="12.75" customHeight="1" x14ac:dyDescent="0.2">
      <c r="A982" s="95"/>
      <c r="B982" s="95"/>
      <c r="C982" s="4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  <c r="AE982" s="95"/>
      <c r="AF982" s="95"/>
      <c r="AG982" s="95"/>
      <c r="AH982" s="95"/>
      <c r="AI982" s="95"/>
      <c r="AJ982" s="95"/>
      <c r="AK982" s="95"/>
      <c r="AL982" s="95"/>
      <c r="AM982" s="95"/>
    </row>
    <row r="983" spans="1:39" ht="12.75" customHeight="1" x14ac:dyDescent="0.2">
      <c r="A983" s="95"/>
      <c r="B983" s="95"/>
      <c r="C983" s="4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  <c r="AE983" s="95"/>
      <c r="AF983" s="95"/>
      <c r="AG983" s="95"/>
      <c r="AH983" s="95"/>
      <c r="AI983" s="95"/>
      <c r="AJ983" s="95"/>
      <c r="AK983" s="95"/>
      <c r="AL983" s="95"/>
      <c r="AM983" s="95"/>
    </row>
    <row r="984" spans="1:39" ht="12.75" customHeight="1" x14ac:dyDescent="0.2">
      <c r="A984" s="95"/>
      <c r="B984" s="95"/>
      <c r="C984" s="4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  <c r="AE984" s="95"/>
      <c r="AF984" s="95"/>
      <c r="AG984" s="95"/>
      <c r="AH984" s="95"/>
      <c r="AI984" s="95"/>
      <c r="AJ984" s="95"/>
      <c r="AK984" s="95"/>
      <c r="AL984" s="95"/>
      <c r="AM984" s="95"/>
    </row>
    <row r="985" spans="1:39" ht="12.75" customHeight="1" x14ac:dyDescent="0.2">
      <c r="A985" s="95"/>
      <c r="B985" s="95"/>
      <c r="C985" s="4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  <c r="AE985" s="95"/>
      <c r="AF985" s="95"/>
      <c r="AG985" s="95"/>
      <c r="AH985" s="95"/>
      <c r="AI985" s="95"/>
      <c r="AJ985" s="95"/>
      <c r="AK985" s="95"/>
      <c r="AL985" s="95"/>
      <c r="AM985" s="95"/>
    </row>
    <row r="986" spans="1:39" ht="12.75" customHeight="1" x14ac:dyDescent="0.2">
      <c r="A986" s="95"/>
      <c r="B986" s="95"/>
      <c r="C986" s="4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  <c r="AE986" s="95"/>
      <c r="AF986" s="95"/>
      <c r="AG986" s="95"/>
      <c r="AH986" s="95"/>
      <c r="AI986" s="95"/>
      <c r="AJ986" s="95"/>
      <c r="AK986" s="95"/>
      <c r="AL986" s="95"/>
      <c r="AM986" s="95"/>
    </row>
    <row r="987" spans="1:39" ht="12.75" customHeight="1" x14ac:dyDescent="0.2">
      <c r="A987" s="95"/>
      <c r="B987" s="95"/>
      <c r="C987" s="4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  <c r="AE987" s="95"/>
      <c r="AF987" s="95"/>
      <c r="AG987" s="95"/>
      <c r="AH987" s="95"/>
      <c r="AI987" s="95"/>
      <c r="AJ987" s="95"/>
      <c r="AK987" s="95"/>
      <c r="AL987" s="95"/>
      <c r="AM987" s="95"/>
    </row>
    <row r="988" spans="1:39" ht="12.75" customHeight="1" x14ac:dyDescent="0.2">
      <c r="A988" s="95"/>
      <c r="B988" s="95"/>
      <c r="C988" s="4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  <c r="AE988" s="95"/>
      <c r="AF988" s="95"/>
      <c r="AG988" s="95"/>
      <c r="AH988" s="95"/>
      <c r="AI988" s="95"/>
      <c r="AJ988" s="95"/>
      <c r="AK988" s="95"/>
      <c r="AL988" s="95"/>
      <c r="AM988" s="95"/>
    </row>
    <row r="989" spans="1:39" ht="12.75" customHeight="1" x14ac:dyDescent="0.2">
      <c r="A989" s="95"/>
      <c r="B989" s="95"/>
      <c r="C989" s="4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  <c r="AE989" s="95"/>
      <c r="AF989" s="95"/>
      <c r="AG989" s="95"/>
      <c r="AH989" s="95"/>
      <c r="AI989" s="95"/>
      <c r="AJ989" s="95"/>
      <c r="AK989" s="95"/>
      <c r="AL989" s="95"/>
      <c r="AM989" s="95"/>
    </row>
    <row r="990" spans="1:39" ht="12.75" customHeight="1" x14ac:dyDescent="0.2">
      <c r="A990" s="95"/>
      <c r="B990" s="95"/>
      <c r="C990" s="4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  <c r="AE990" s="95"/>
      <c r="AF990" s="95"/>
      <c r="AG990" s="95"/>
      <c r="AH990" s="95"/>
      <c r="AI990" s="95"/>
      <c r="AJ990" s="95"/>
      <c r="AK990" s="95"/>
      <c r="AL990" s="95"/>
      <c r="AM990" s="95"/>
    </row>
    <row r="991" spans="1:39" ht="12.75" customHeight="1" x14ac:dyDescent="0.2">
      <c r="A991" s="95"/>
      <c r="B991" s="95"/>
      <c r="C991" s="4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  <c r="AE991" s="95"/>
      <c r="AF991" s="95"/>
      <c r="AG991" s="95"/>
      <c r="AH991" s="95"/>
      <c r="AI991" s="95"/>
      <c r="AJ991" s="95"/>
      <c r="AK991" s="95"/>
      <c r="AL991" s="95"/>
      <c r="AM991" s="95"/>
    </row>
    <row r="992" spans="1:39" ht="12.75" customHeight="1" x14ac:dyDescent="0.2">
      <c r="A992" s="95"/>
      <c r="B992" s="95"/>
      <c r="C992" s="4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  <c r="AE992" s="95"/>
      <c r="AF992" s="95"/>
      <c r="AG992" s="95"/>
      <c r="AH992" s="95"/>
      <c r="AI992" s="95"/>
      <c r="AJ992" s="95"/>
      <c r="AK992" s="95"/>
      <c r="AL992" s="95"/>
      <c r="AM992" s="95"/>
    </row>
    <row r="993" spans="1:39" ht="12.75" customHeight="1" x14ac:dyDescent="0.2">
      <c r="A993" s="95"/>
      <c r="B993" s="95"/>
      <c r="C993" s="4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  <c r="AE993" s="95"/>
      <c r="AF993" s="95"/>
      <c r="AG993" s="95"/>
      <c r="AH993" s="95"/>
      <c r="AI993" s="95"/>
      <c r="AJ993" s="95"/>
      <c r="AK993" s="95"/>
      <c r="AL993" s="95"/>
      <c r="AM993" s="95"/>
    </row>
    <row r="994" spans="1:39" ht="12.75" customHeight="1" x14ac:dyDescent="0.2">
      <c r="A994" s="95"/>
      <c r="B994" s="95"/>
      <c r="C994" s="4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  <c r="AE994" s="95"/>
      <c r="AF994" s="95"/>
      <c r="AG994" s="95"/>
      <c r="AH994" s="95"/>
      <c r="AI994" s="95"/>
      <c r="AJ994" s="95"/>
      <c r="AK994" s="95"/>
      <c r="AL994" s="95"/>
      <c r="AM994" s="95"/>
    </row>
    <row r="995" spans="1:39" ht="12.75" customHeight="1" x14ac:dyDescent="0.2">
      <c r="A995" s="95"/>
      <c r="B995" s="95"/>
      <c r="C995" s="4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  <c r="AE995" s="95"/>
      <c r="AF995" s="95"/>
      <c r="AG995" s="95"/>
      <c r="AH995" s="95"/>
      <c r="AI995" s="95"/>
      <c r="AJ995" s="95"/>
      <c r="AK995" s="95"/>
      <c r="AL995" s="95"/>
      <c r="AM995" s="95"/>
    </row>
    <row r="996" spans="1:39" ht="12.75" customHeight="1" x14ac:dyDescent="0.2">
      <c r="A996" s="95"/>
      <c r="B996" s="95"/>
      <c r="C996" s="4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  <c r="AE996" s="95"/>
      <c r="AF996" s="95"/>
      <c r="AG996" s="95"/>
      <c r="AH996" s="95"/>
      <c r="AI996" s="95"/>
      <c r="AJ996" s="95"/>
      <c r="AK996" s="95"/>
      <c r="AL996" s="95"/>
      <c r="AM996" s="95"/>
    </row>
    <row r="997" spans="1:39" ht="12.75" customHeight="1" x14ac:dyDescent="0.2">
      <c r="A997" s="95"/>
      <c r="B997" s="95"/>
      <c r="C997" s="4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  <c r="AE997" s="95"/>
      <c r="AF997" s="95"/>
      <c r="AG997" s="95"/>
      <c r="AH997" s="95"/>
      <c r="AI997" s="95"/>
      <c r="AJ997" s="95"/>
      <c r="AK997" s="95"/>
      <c r="AL997" s="95"/>
      <c r="AM997" s="95"/>
    </row>
    <row r="998" spans="1:39" ht="12.75" customHeight="1" x14ac:dyDescent="0.2">
      <c r="A998" s="95"/>
      <c r="B998" s="95"/>
      <c r="C998" s="4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  <c r="AE998" s="95"/>
      <c r="AF998" s="95"/>
      <c r="AG998" s="95"/>
      <c r="AH998" s="95"/>
      <c r="AI998" s="95"/>
      <c r="AJ998" s="95"/>
      <c r="AK998" s="95"/>
      <c r="AL998" s="95"/>
      <c r="AM998" s="95"/>
    </row>
    <row r="999" spans="1:39" ht="12.75" customHeight="1" x14ac:dyDescent="0.2">
      <c r="A999" s="95"/>
      <c r="B999" s="95"/>
      <c r="C999" s="4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  <c r="AE999" s="95"/>
      <c r="AF999" s="95"/>
      <c r="AG999" s="95"/>
      <c r="AH999" s="95"/>
      <c r="AI999" s="95"/>
      <c r="AJ999" s="95"/>
      <c r="AK999" s="95"/>
      <c r="AL999" s="95"/>
      <c r="AM999" s="95"/>
    </row>
    <row r="1000" spans="1:39" ht="12.75" customHeight="1" x14ac:dyDescent="0.2">
      <c r="A1000" s="95"/>
      <c r="B1000" s="95"/>
      <c r="C1000" s="4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  <c r="AE1000" s="95"/>
      <c r="AF1000" s="95"/>
      <c r="AG1000" s="95"/>
      <c r="AH1000" s="95"/>
      <c r="AI1000" s="95"/>
      <c r="AJ1000" s="95"/>
      <c r="AK1000" s="95"/>
      <c r="AL1000" s="95"/>
      <c r="AM1000" s="95"/>
    </row>
  </sheetData>
  <mergeCells count="25">
    <mergeCell ref="C6:E6"/>
    <mergeCell ref="C7:E7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36:C336"/>
    <mergeCell ref="B337:C337"/>
    <mergeCell ref="B338:C338"/>
    <mergeCell ref="C339:D339"/>
    <mergeCell ref="B329:C329"/>
    <mergeCell ref="B330:C330"/>
    <mergeCell ref="B331:C331"/>
    <mergeCell ref="B332:C332"/>
    <mergeCell ref="B333:C333"/>
    <mergeCell ref="B334:C334"/>
    <mergeCell ref="B335:C335"/>
  </mergeCells>
  <conditionalFormatting sqref="B10:F16">
    <cfRule type="expression" dxfId="95" priority="1">
      <formula>$C10="Total"</formula>
    </cfRule>
  </conditionalFormatting>
  <conditionalFormatting sqref="B9:P9 P10:P16">
    <cfRule type="expression" dxfId="94" priority="2">
      <formula>$C9="Total"</formula>
    </cfRule>
  </conditionalFormatting>
  <conditionalFormatting sqref="B17:P315">
    <cfRule type="expression" dxfId="93" priority="3">
      <formula>$C17="Total"</formula>
    </cfRule>
  </conditionalFormatting>
  <pageMargins left="0.7" right="0.7" top="0.75" bottom="0.75" header="0" footer="0"/>
  <pageSetup paperSize="8"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topLeftCell="B1" workbookViewId="0"/>
  </sheetViews>
  <sheetFormatPr baseColWidth="10" defaultColWidth="14.5" defaultRowHeight="15" customHeight="1" x14ac:dyDescent="0.2"/>
  <cols>
    <col min="1" max="1" width="3.83203125" hidden="1" customWidth="1"/>
    <col min="2" max="2" width="34.83203125" customWidth="1"/>
    <col min="3" max="3" width="35.6640625" customWidth="1"/>
    <col min="4" max="15" width="8.83203125" customWidth="1"/>
    <col min="16" max="16" width="10.5" customWidth="1"/>
    <col min="17" max="17" width="18.6640625" hidden="1" customWidth="1"/>
    <col min="18" max="26" width="8.6640625" customWidth="1"/>
  </cols>
  <sheetData>
    <row r="1" spans="1:26" ht="12.75" customHeight="1" x14ac:dyDescent="0.2">
      <c r="A1" s="95"/>
      <c r="B1" s="188" t="s">
        <v>0</v>
      </c>
      <c r="C1" s="99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 spans="1:26" ht="12.75" customHeight="1" x14ac:dyDescent="0.2">
      <c r="A2" s="95"/>
      <c r="B2" s="100" t="s">
        <v>345</v>
      </c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spans="1:26" ht="12.75" customHeight="1" x14ac:dyDescent="0.2">
      <c r="A3" s="95"/>
      <c r="B3" s="189" t="s">
        <v>346</v>
      </c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spans="1:26" ht="12.75" customHeight="1" x14ac:dyDescent="0.2">
      <c r="A4" s="95"/>
      <c r="D4" s="95"/>
      <c r="E4" s="95"/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spans="1:26" ht="12.75" customHeight="1" x14ac:dyDescent="0.2">
      <c r="A5" s="95"/>
      <c r="B5" s="244" t="s">
        <v>347</v>
      </c>
      <c r="C5" s="239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spans="1:26" ht="12.75" customHeight="1" x14ac:dyDescent="0.2">
      <c r="A6" s="95"/>
      <c r="B6" s="105" t="s">
        <v>348</v>
      </c>
      <c r="C6" s="7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spans="1:26" ht="12.75" customHeight="1" x14ac:dyDescent="0.2">
      <c r="A7" s="95"/>
      <c r="B7" s="105"/>
      <c r="C7" s="7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spans="1:26" ht="12.75" customHeight="1" x14ac:dyDescent="0.2">
      <c r="A8" s="95"/>
      <c r="B8" s="105"/>
      <c r="C8" s="7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spans="1:26" ht="12.75" customHeight="1" x14ac:dyDescent="0.2">
      <c r="A9" s="95"/>
      <c r="B9" s="190" t="s">
        <v>239</v>
      </c>
      <c r="C9" s="191"/>
      <c r="D9" s="192">
        <v>42552</v>
      </c>
      <c r="E9" s="192">
        <v>42583</v>
      </c>
      <c r="F9" s="192">
        <v>42614</v>
      </c>
      <c r="G9" s="192">
        <v>42644</v>
      </c>
      <c r="H9" s="192">
        <v>42675</v>
      </c>
      <c r="I9" s="192">
        <v>42705</v>
      </c>
      <c r="J9" s="192">
        <v>42736</v>
      </c>
      <c r="K9" s="192">
        <v>42767</v>
      </c>
      <c r="L9" s="192">
        <v>42795</v>
      </c>
      <c r="M9" s="192">
        <v>42826</v>
      </c>
      <c r="N9" s="192">
        <v>42856</v>
      </c>
      <c r="O9" s="193">
        <v>42887</v>
      </c>
      <c r="P9" s="194" t="s">
        <v>349</v>
      </c>
      <c r="Q9" s="195"/>
      <c r="R9" s="95"/>
      <c r="S9" s="95"/>
      <c r="T9" s="95"/>
      <c r="U9" s="95"/>
      <c r="V9" s="95"/>
      <c r="W9" s="95"/>
      <c r="X9" s="95"/>
      <c r="Y9" s="95"/>
      <c r="Z9" s="95"/>
    </row>
    <row r="10" spans="1:26" ht="12.75" customHeight="1" x14ac:dyDescent="0.2">
      <c r="A10" s="95"/>
      <c r="B10" s="111" t="s">
        <v>54</v>
      </c>
      <c r="C10" s="36" t="s">
        <v>9</v>
      </c>
      <c r="D10" s="149">
        <v>0.15</v>
      </c>
      <c r="E10" s="149">
        <v>0.15</v>
      </c>
      <c r="F10" s="149">
        <v>0.15</v>
      </c>
      <c r="G10" s="149">
        <v>0.15</v>
      </c>
      <c r="H10" s="150">
        <v>0.15</v>
      </c>
      <c r="I10" s="150">
        <v>0.15</v>
      </c>
      <c r="J10" s="150">
        <v>0.15</v>
      </c>
      <c r="K10" s="150">
        <v>0.15</v>
      </c>
      <c r="L10" s="112">
        <v>0.15</v>
      </c>
      <c r="M10" s="112">
        <v>0.15</v>
      </c>
      <c r="N10" s="112">
        <v>0.15</v>
      </c>
      <c r="O10" s="113">
        <v>0.15</v>
      </c>
      <c r="P10" s="196">
        <f t="shared" ref="P10:P208" si="0">AVERAGE(D10:O10)</f>
        <v>0.14999999999999997</v>
      </c>
      <c r="Q10" s="195"/>
      <c r="R10" s="95"/>
      <c r="S10" s="95"/>
      <c r="T10" s="95"/>
      <c r="U10" s="95"/>
      <c r="V10" s="95"/>
      <c r="W10" s="95"/>
      <c r="X10" s="95"/>
      <c r="Y10" s="95"/>
      <c r="Z10" s="95"/>
    </row>
    <row r="11" spans="1:26" ht="12.75" customHeight="1" x14ac:dyDescent="0.2">
      <c r="A11" s="95"/>
      <c r="B11" s="19" t="s">
        <v>240</v>
      </c>
      <c r="C11" s="20" t="s">
        <v>11</v>
      </c>
      <c r="D11" s="178">
        <v>0.2</v>
      </c>
      <c r="E11" s="178">
        <v>0.25</v>
      </c>
      <c r="F11" s="178">
        <v>0.25</v>
      </c>
      <c r="G11" s="178">
        <v>0.25</v>
      </c>
      <c r="H11" s="179">
        <v>0.25</v>
      </c>
      <c r="I11" s="179">
        <v>0.25</v>
      </c>
      <c r="J11" s="179">
        <v>0.25</v>
      </c>
      <c r="K11" s="179">
        <v>0.2</v>
      </c>
      <c r="L11" s="117">
        <v>0.25</v>
      </c>
      <c r="M11" s="117">
        <v>0.2</v>
      </c>
      <c r="N11" s="117">
        <v>0.2</v>
      </c>
      <c r="O11" s="118">
        <v>0.2</v>
      </c>
      <c r="P11" s="197">
        <f t="shared" si="0"/>
        <v>0.22916666666666671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spans="1:26" ht="12.75" customHeight="1" x14ac:dyDescent="0.2">
      <c r="A12" s="95"/>
      <c r="B12" s="122"/>
      <c r="C12" s="20" t="s">
        <v>12</v>
      </c>
      <c r="D12" s="178">
        <v>0.3</v>
      </c>
      <c r="E12" s="178">
        <v>0.3</v>
      </c>
      <c r="F12" s="178">
        <v>0.3</v>
      </c>
      <c r="G12" s="178">
        <v>0.3</v>
      </c>
      <c r="H12" s="179">
        <v>0.3</v>
      </c>
      <c r="I12" s="179">
        <v>0.3</v>
      </c>
      <c r="J12" s="179">
        <v>0.3</v>
      </c>
      <c r="K12" s="179">
        <v>0.3</v>
      </c>
      <c r="L12" s="117">
        <v>0.25</v>
      </c>
      <c r="M12" s="117">
        <v>0.25</v>
      </c>
      <c r="N12" s="117">
        <v>0.25</v>
      </c>
      <c r="O12" s="118">
        <v>0.25</v>
      </c>
      <c r="P12" s="197">
        <f t="shared" si="0"/>
        <v>0.28333333333333333</v>
      </c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spans="1:26" ht="12.75" customHeight="1" x14ac:dyDescent="0.2">
      <c r="A13" s="95"/>
      <c r="B13" s="122"/>
      <c r="C13" s="20" t="s">
        <v>13</v>
      </c>
      <c r="D13" s="178">
        <v>0.15</v>
      </c>
      <c r="E13" s="178">
        <v>0.15</v>
      </c>
      <c r="F13" s="178">
        <v>0.15</v>
      </c>
      <c r="G13" s="178">
        <v>0.15</v>
      </c>
      <c r="H13" s="179">
        <v>0.15</v>
      </c>
      <c r="I13" s="179">
        <v>0.15</v>
      </c>
      <c r="J13" s="179">
        <v>0.15</v>
      </c>
      <c r="K13" s="179">
        <v>0.15</v>
      </c>
      <c r="L13" s="117">
        <v>0.15</v>
      </c>
      <c r="M13" s="117">
        <v>0.1</v>
      </c>
      <c r="N13" s="117">
        <v>0.1</v>
      </c>
      <c r="O13" s="118">
        <v>0.1</v>
      </c>
      <c r="P13" s="197">
        <f t="shared" si="0"/>
        <v>0.13750000000000001</v>
      </c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spans="1:26" ht="12.75" customHeight="1" x14ac:dyDescent="0.2">
      <c r="A14" s="95"/>
      <c r="B14" s="122"/>
      <c r="C14" s="20" t="s">
        <v>14</v>
      </c>
      <c r="D14" s="178">
        <v>0.02</v>
      </c>
      <c r="E14" s="178">
        <v>0.02</v>
      </c>
      <c r="F14" s="178">
        <v>0.02</v>
      </c>
      <c r="G14" s="178">
        <v>0.02</v>
      </c>
      <c r="H14" s="179">
        <v>0.02</v>
      </c>
      <c r="I14" s="179">
        <v>0.02</v>
      </c>
      <c r="J14" s="179">
        <v>0.02</v>
      </c>
      <c r="K14" s="179">
        <v>0.02</v>
      </c>
      <c r="L14" s="117">
        <v>0.02</v>
      </c>
      <c r="M14" s="117">
        <v>0.02</v>
      </c>
      <c r="N14" s="117">
        <v>0.02</v>
      </c>
      <c r="O14" s="118">
        <v>0.02</v>
      </c>
      <c r="P14" s="197">
        <f t="shared" si="0"/>
        <v>1.9999999999999997E-2</v>
      </c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spans="1:26" ht="12.75" customHeight="1" x14ac:dyDescent="0.2">
      <c r="A15" s="95"/>
      <c r="B15" s="122"/>
      <c r="C15" s="20" t="s">
        <v>15</v>
      </c>
      <c r="D15" s="178">
        <v>0</v>
      </c>
      <c r="E15" s="178">
        <v>0</v>
      </c>
      <c r="F15" s="178">
        <v>0</v>
      </c>
      <c r="G15" s="178">
        <v>0</v>
      </c>
      <c r="H15" s="179">
        <v>0</v>
      </c>
      <c r="I15" s="179">
        <v>0</v>
      </c>
      <c r="J15" s="179">
        <v>0</v>
      </c>
      <c r="K15" s="179">
        <v>0</v>
      </c>
      <c r="L15" s="117">
        <v>0</v>
      </c>
      <c r="M15" s="117">
        <v>0</v>
      </c>
      <c r="N15" s="117">
        <v>0</v>
      </c>
      <c r="O15" s="118">
        <v>0</v>
      </c>
      <c r="P15" s="197">
        <f t="shared" si="0"/>
        <v>0</v>
      </c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spans="1:26" ht="12.75" customHeight="1" x14ac:dyDescent="0.2">
      <c r="A16" s="95"/>
      <c r="B16" s="122"/>
      <c r="C16" s="20" t="s">
        <v>16</v>
      </c>
      <c r="D16" s="178">
        <v>0.05</v>
      </c>
      <c r="E16" s="178">
        <v>0.05</v>
      </c>
      <c r="F16" s="178">
        <v>0.05</v>
      </c>
      <c r="G16" s="178">
        <v>0.05</v>
      </c>
      <c r="H16" s="179">
        <v>0.05</v>
      </c>
      <c r="I16" s="179">
        <v>0.05</v>
      </c>
      <c r="J16" s="179">
        <v>0.05</v>
      </c>
      <c r="K16" s="179">
        <v>0.05</v>
      </c>
      <c r="L16" s="117">
        <v>0.05</v>
      </c>
      <c r="M16" s="117">
        <v>0.05</v>
      </c>
      <c r="N16" s="117">
        <v>0.05</v>
      </c>
      <c r="O16" s="118">
        <v>0.05</v>
      </c>
      <c r="P16" s="197">
        <f t="shared" si="0"/>
        <v>4.9999999999999996E-2</v>
      </c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spans="1:26" ht="12.75" customHeight="1" x14ac:dyDescent="0.2">
      <c r="A17" s="95"/>
      <c r="B17" s="130" t="str">
        <f>B10</f>
        <v>Wes Sonnenreich</v>
      </c>
      <c r="C17" s="131" t="s">
        <v>241</v>
      </c>
      <c r="D17" s="132">
        <f t="shared" ref="D17:O17" si="1">SUM(D10:D16)</f>
        <v>0.87</v>
      </c>
      <c r="E17" s="132">
        <f t="shared" si="1"/>
        <v>0.92</v>
      </c>
      <c r="F17" s="132">
        <f t="shared" si="1"/>
        <v>0.92</v>
      </c>
      <c r="G17" s="132">
        <f t="shared" si="1"/>
        <v>0.92</v>
      </c>
      <c r="H17" s="132">
        <f t="shared" si="1"/>
        <v>0.92</v>
      </c>
      <c r="I17" s="132">
        <f t="shared" si="1"/>
        <v>0.92</v>
      </c>
      <c r="J17" s="132">
        <f t="shared" si="1"/>
        <v>0.92</v>
      </c>
      <c r="K17" s="132">
        <f t="shared" si="1"/>
        <v>0.87</v>
      </c>
      <c r="L17" s="132">
        <f t="shared" si="1"/>
        <v>0.87000000000000011</v>
      </c>
      <c r="M17" s="132">
        <f t="shared" si="1"/>
        <v>0.77</v>
      </c>
      <c r="N17" s="132">
        <f t="shared" si="1"/>
        <v>0.77</v>
      </c>
      <c r="O17" s="198">
        <f t="shared" si="1"/>
        <v>0.77</v>
      </c>
      <c r="P17" s="199">
        <f t="shared" si="0"/>
        <v>0.86999999999999977</v>
      </c>
      <c r="Q17" s="200"/>
      <c r="R17" s="95"/>
      <c r="S17" s="95"/>
      <c r="T17" s="95"/>
      <c r="U17" s="95"/>
      <c r="V17" s="95"/>
      <c r="W17" s="95"/>
      <c r="X17" s="95"/>
      <c r="Y17" s="95"/>
      <c r="Z17" s="95"/>
    </row>
    <row r="18" spans="1:26" ht="12.75" customHeight="1" x14ac:dyDescent="0.2">
      <c r="A18" s="95"/>
      <c r="B18" s="111" t="s">
        <v>242</v>
      </c>
      <c r="C18" s="36" t="s">
        <v>9</v>
      </c>
      <c r="D18" s="201">
        <v>0.1</v>
      </c>
      <c r="E18" s="201">
        <v>0.1</v>
      </c>
      <c r="F18" s="201">
        <v>0.1</v>
      </c>
      <c r="G18" s="201">
        <v>0.1</v>
      </c>
      <c r="H18" s="202">
        <v>0.1</v>
      </c>
      <c r="I18" s="202">
        <v>0.1</v>
      </c>
      <c r="J18" s="202">
        <v>0.1</v>
      </c>
      <c r="K18" s="202">
        <v>0.1</v>
      </c>
      <c r="L18" s="203">
        <v>0.1</v>
      </c>
      <c r="M18" s="203">
        <v>0.1</v>
      </c>
      <c r="N18" s="203">
        <v>0.1</v>
      </c>
      <c r="O18" s="134">
        <v>0.1</v>
      </c>
      <c r="P18" s="196">
        <f t="shared" si="0"/>
        <v>9.9999999999999992E-2</v>
      </c>
      <c r="Q18" s="195"/>
      <c r="R18" s="95"/>
      <c r="S18" s="95"/>
      <c r="T18" s="95"/>
      <c r="U18" s="95"/>
      <c r="V18" s="95"/>
      <c r="W18" s="95"/>
      <c r="X18" s="95"/>
      <c r="Y18" s="95"/>
      <c r="Z18" s="95"/>
    </row>
    <row r="19" spans="1:26" ht="12.75" customHeight="1" x14ac:dyDescent="0.2">
      <c r="A19" s="95"/>
      <c r="B19" s="135" t="s">
        <v>243</v>
      </c>
      <c r="C19" s="20" t="s">
        <v>11</v>
      </c>
      <c r="D19" s="204"/>
      <c r="E19" s="204">
        <v>0.05</v>
      </c>
      <c r="F19" s="204">
        <v>0.05</v>
      </c>
      <c r="G19" s="204">
        <v>0.05</v>
      </c>
      <c r="H19" s="205">
        <v>0.05</v>
      </c>
      <c r="I19" s="205">
        <v>0.05</v>
      </c>
      <c r="J19" s="205">
        <v>0.05</v>
      </c>
      <c r="K19" s="205">
        <v>0.05</v>
      </c>
      <c r="L19" s="206">
        <v>0.05</v>
      </c>
      <c r="M19" s="206">
        <v>0.5</v>
      </c>
      <c r="N19" s="206">
        <v>0.5</v>
      </c>
      <c r="O19" s="136">
        <v>0.5</v>
      </c>
      <c r="P19" s="197">
        <f t="shared" si="0"/>
        <v>0.17272727272727273</v>
      </c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spans="1:26" ht="12.75" customHeight="1" x14ac:dyDescent="0.2">
      <c r="A20" s="95"/>
      <c r="B20" s="137"/>
      <c r="C20" s="20" t="s">
        <v>12</v>
      </c>
      <c r="D20" s="204"/>
      <c r="E20" s="204"/>
      <c r="F20" s="204"/>
      <c r="G20" s="204"/>
      <c r="H20" s="205"/>
      <c r="I20" s="205"/>
      <c r="J20" s="205"/>
      <c r="K20" s="205"/>
      <c r="L20" s="206"/>
      <c r="M20" s="206">
        <v>0.05</v>
      </c>
      <c r="N20" s="206">
        <v>0.05</v>
      </c>
      <c r="O20" s="136">
        <v>0.05</v>
      </c>
      <c r="P20" s="197">
        <f t="shared" si="0"/>
        <v>5.000000000000001E-2</v>
      </c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spans="1:26" ht="12.75" customHeight="1" x14ac:dyDescent="0.2">
      <c r="A21" s="95"/>
      <c r="B21" s="137"/>
      <c r="C21" s="20" t="s">
        <v>13</v>
      </c>
      <c r="D21" s="204">
        <v>0.6</v>
      </c>
      <c r="E21" s="204">
        <v>0.6</v>
      </c>
      <c r="F21" s="204">
        <v>0.6</v>
      </c>
      <c r="G21" s="204">
        <v>0.6</v>
      </c>
      <c r="H21" s="205">
        <v>0.6</v>
      </c>
      <c r="I21" s="205">
        <v>0.6</v>
      </c>
      <c r="J21" s="205">
        <v>0.6</v>
      </c>
      <c r="K21" s="205">
        <v>0.5</v>
      </c>
      <c r="L21" s="206">
        <v>0.45</v>
      </c>
      <c r="M21" s="206">
        <v>0</v>
      </c>
      <c r="N21" s="206">
        <v>0</v>
      </c>
      <c r="O21" s="136">
        <v>0</v>
      </c>
      <c r="P21" s="197">
        <f t="shared" si="0"/>
        <v>0.4291666666666667</v>
      </c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spans="1:26" ht="12.75" customHeight="1" x14ac:dyDescent="0.2">
      <c r="A22" s="95"/>
      <c r="B22" s="122"/>
      <c r="C22" s="20" t="s">
        <v>14</v>
      </c>
      <c r="D22" s="204">
        <v>0.05</v>
      </c>
      <c r="E22" s="204">
        <v>0.05</v>
      </c>
      <c r="F22" s="204">
        <v>0.05</v>
      </c>
      <c r="G22" s="204">
        <v>0.05</v>
      </c>
      <c r="H22" s="205">
        <v>0.05</v>
      </c>
      <c r="I22" s="205">
        <v>0.05</v>
      </c>
      <c r="J22" s="205">
        <v>0.05</v>
      </c>
      <c r="K22" s="205">
        <v>0.05</v>
      </c>
      <c r="L22" s="206">
        <v>0.05</v>
      </c>
      <c r="M22" s="206">
        <v>0.05</v>
      </c>
      <c r="N22" s="206">
        <v>0.05</v>
      </c>
      <c r="O22" s="136">
        <v>0.05</v>
      </c>
      <c r="P22" s="197">
        <f t="shared" si="0"/>
        <v>4.9999999999999996E-2</v>
      </c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2.75" customHeight="1" x14ac:dyDescent="0.2">
      <c r="A23" s="95"/>
      <c r="B23" s="122"/>
      <c r="C23" s="20" t="s">
        <v>15</v>
      </c>
      <c r="D23" s="204">
        <v>0</v>
      </c>
      <c r="E23" s="204">
        <v>0</v>
      </c>
      <c r="F23" s="204">
        <v>0</v>
      </c>
      <c r="G23" s="204">
        <v>0</v>
      </c>
      <c r="H23" s="205">
        <v>0</v>
      </c>
      <c r="I23" s="205">
        <v>0</v>
      </c>
      <c r="J23" s="205">
        <v>0</v>
      </c>
      <c r="K23" s="205">
        <v>0</v>
      </c>
      <c r="L23" s="206">
        <v>0</v>
      </c>
      <c r="M23" s="206">
        <v>0</v>
      </c>
      <c r="N23" s="206">
        <v>0</v>
      </c>
      <c r="O23" s="136">
        <v>0</v>
      </c>
      <c r="P23" s="197">
        <f t="shared" si="0"/>
        <v>0</v>
      </c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spans="1:26" ht="12.75" customHeight="1" x14ac:dyDescent="0.2">
      <c r="A24" s="95"/>
      <c r="B24" s="122"/>
      <c r="C24" s="20" t="s">
        <v>16</v>
      </c>
      <c r="D24" s="204">
        <v>0.1</v>
      </c>
      <c r="E24" s="204">
        <v>0.1</v>
      </c>
      <c r="F24" s="204">
        <v>0.1</v>
      </c>
      <c r="G24" s="204">
        <v>0.1</v>
      </c>
      <c r="H24" s="205">
        <v>0.1</v>
      </c>
      <c r="I24" s="205">
        <v>0.1</v>
      </c>
      <c r="J24" s="205">
        <v>0.1</v>
      </c>
      <c r="K24" s="205">
        <v>0.1</v>
      </c>
      <c r="L24" s="206">
        <v>0.1</v>
      </c>
      <c r="M24" s="206">
        <v>0.1</v>
      </c>
      <c r="N24" s="206">
        <v>0.1</v>
      </c>
      <c r="O24" s="136">
        <v>0.1</v>
      </c>
      <c r="P24" s="197">
        <f t="shared" si="0"/>
        <v>9.9999999999999992E-2</v>
      </c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spans="1:26" ht="12.75" customHeight="1" x14ac:dyDescent="0.2">
      <c r="A25" s="95"/>
      <c r="B25" s="138" t="s">
        <v>244</v>
      </c>
      <c r="C25" s="131" t="s">
        <v>241</v>
      </c>
      <c r="D25" s="132">
        <f t="shared" ref="D25:O25" si="2">SUM(D18:D24)</f>
        <v>0.85</v>
      </c>
      <c r="E25" s="132">
        <f t="shared" si="2"/>
        <v>0.9</v>
      </c>
      <c r="F25" s="132">
        <f t="shared" si="2"/>
        <v>0.9</v>
      </c>
      <c r="G25" s="132">
        <f t="shared" si="2"/>
        <v>0.9</v>
      </c>
      <c r="H25" s="132">
        <f t="shared" si="2"/>
        <v>0.9</v>
      </c>
      <c r="I25" s="132">
        <f t="shared" si="2"/>
        <v>0.9</v>
      </c>
      <c r="J25" s="132">
        <f t="shared" si="2"/>
        <v>0.9</v>
      </c>
      <c r="K25" s="132">
        <f t="shared" si="2"/>
        <v>0.8</v>
      </c>
      <c r="L25" s="132">
        <f t="shared" si="2"/>
        <v>0.75000000000000011</v>
      </c>
      <c r="M25" s="132">
        <f t="shared" si="2"/>
        <v>0.8</v>
      </c>
      <c r="N25" s="132">
        <f t="shared" si="2"/>
        <v>0.8</v>
      </c>
      <c r="O25" s="198">
        <f t="shared" si="2"/>
        <v>0.8</v>
      </c>
      <c r="P25" s="199">
        <f t="shared" si="0"/>
        <v>0.8500000000000002</v>
      </c>
      <c r="Q25" s="207"/>
      <c r="R25" s="95"/>
      <c r="S25" s="95"/>
      <c r="T25" s="95"/>
      <c r="U25" s="95"/>
      <c r="V25" s="95"/>
      <c r="W25" s="95"/>
      <c r="X25" s="95"/>
      <c r="Y25" s="95"/>
      <c r="Z25" s="95"/>
    </row>
    <row r="26" spans="1:26" ht="12.75" customHeight="1" x14ac:dyDescent="0.2">
      <c r="A26" s="95"/>
      <c r="B26" s="111" t="s">
        <v>23</v>
      </c>
      <c r="C26" s="36" t="s">
        <v>9</v>
      </c>
      <c r="D26" s="166"/>
      <c r="E26" s="166"/>
      <c r="F26" s="166"/>
      <c r="G26" s="166"/>
      <c r="H26" s="167"/>
      <c r="I26" s="167"/>
      <c r="J26" s="167"/>
      <c r="K26" s="167"/>
      <c r="L26" s="151"/>
      <c r="M26" s="112">
        <v>0</v>
      </c>
      <c r="N26" s="112">
        <v>0</v>
      </c>
      <c r="O26" s="113">
        <v>0</v>
      </c>
      <c r="P26" s="196">
        <f t="shared" si="0"/>
        <v>0</v>
      </c>
      <c r="Q26" s="195"/>
      <c r="R26" s="95"/>
      <c r="S26" s="95"/>
      <c r="T26" s="95"/>
      <c r="U26" s="95"/>
      <c r="V26" s="95"/>
      <c r="W26" s="95"/>
      <c r="X26" s="95"/>
      <c r="Y26" s="95"/>
      <c r="Z26" s="95"/>
    </row>
    <row r="27" spans="1:26" ht="12.75" customHeight="1" x14ac:dyDescent="0.2">
      <c r="A27" s="95"/>
      <c r="B27" s="19" t="s">
        <v>245</v>
      </c>
      <c r="C27" s="20" t="s">
        <v>11</v>
      </c>
      <c r="D27" s="157"/>
      <c r="E27" s="157"/>
      <c r="F27" s="157"/>
      <c r="G27" s="157"/>
      <c r="H27" s="169"/>
      <c r="I27" s="169"/>
      <c r="J27" s="169"/>
      <c r="K27" s="169"/>
      <c r="L27" s="153"/>
      <c r="M27" s="123">
        <v>0</v>
      </c>
      <c r="N27" s="123">
        <v>0</v>
      </c>
      <c r="O27" s="120">
        <v>0</v>
      </c>
      <c r="P27" s="197">
        <f t="shared" si="0"/>
        <v>0</v>
      </c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spans="1:26" ht="12.75" customHeight="1" x14ac:dyDescent="0.2">
      <c r="A28" s="95"/>
      <c r="B28" s="122"/>
      <c r="C28" s="20" t="s">
        <v>12</v>
      </c>
      <c r="D28" s="157"/>
      <c r="E28" s="157"/>
      <c r="F28" s="157"/>
      <c r="G28" s="157"/>
      <c r="H28" s="169"/>
      <c r="I28" s="169"/>
      <c r="J28" s="169"/>
      <c r="K28" s="169"/>
      <c r="L28" s="153"/>
      <c r="M28" s="123">
        <v>0</v>
      </c>
      <c r="N28" s="123">
        <v>0</v>
      </c>
      <c r="O28" s="120">
        <v>0</v>
      </c>
      <c r="P28" s="197">
        <f t="shared" si="0"/>
        <v>0</v>
      </c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spans="1:26" ht="12.75" customHeight="1" x14ac:dyDescent="0.2">
      <c r="A29" s="95"/>
      <c r="B29" s="122"/>
      <c r="C29" s="20" t="s">
        <v>13</v>
      </c>
      <c r="D29" s="157"/>
      <c r="E29" s="157"/>
      <c r="F29" s="157"/>
      <c r="G29" s="157"/>
      <c r="H29" s="169"/>
      <c r="I29" s="169"/>
      <c r="J29" s="169"/>
      <c r="K29" s="169"/>
      <c r="L29" s="153"/>
      <c r="M29" s="123">
        <v>0.9</v>
      </c>
      <c r="N29" s="123">
        <v>0.8</v>
      </c>
      <c r="O29" s="120">
        <v>0.7</v>
      </c>
      <c r="P29" s="197">
        <f t="shared" si="0"/>
        <v>0.80000000000000016</v>
      </c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spans="1:26" ht="12.75" customHeight="1" x14ac:dyDescent="0.2">
      <c r="A30" s="95"/>
      <c r="B30" s="122"/>
      <c r="C30" s="20" t="s">
        <v>14</v>
      </c>
      <c r="D30" s="157"/>
      <c r="E30" s="157"/>
      <c r="F30" s="157"/>
      <c r="G30" s="157"/>
      <c r="H30" s="169"/>
      <c r="I30" s="169"/>
      <c r="J30" s="169"/>
      <c r="K30" s="169"/>
      <c r="L30" s="153"/>
      <c r="M30" s="123">
        <v>0</v>
      </c>
      <c r="N30" s="123">
        <v>0</v>
      </c>
      <c r="O30" s="120">
        <v>0</v>
      </c>
      <c r="P30" s="197">
        <f t="shared" si="0"/>
        <v>0</v>
      </c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spans="1:26" ht="12.75" customHeight="1" x14ac:dyDescent="0.2">
      <c r="A31" s="95"/>
      <c r="B31" s="122"/>
      <c r="C31" s="20" t="s">
        <v>15</v>
      </c>
      <c r="D31" s="157"/>
      <c r="E31" s="157"/>
      <c r="F31" s="157"/>
      <c r="G31" s="157"/>
      <c r="H31" s="169"/>
      <c r="I31" s="169"/>
      <c r="J31" s="169"/>
      <c r="K31" s="169"/>
      <c r="L31" s="153"/>
      <c r="M31" s="123">
        <v>0</v>
      </c>
      <c r="N31" s="123">
        <v>0</v>
      </c>
      <c r="O31" s="120">
        <v>0</v>
      </c>
      <c r="P31" s="197">
        <f t="shared" si="0"/>
        <v>0</v>
      </c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spans="1:26" ht="12.75" customHeight="1" x14ac:dyDescent="0.2">
      <c r="A32" s="95"/>
      <c r="B32" s="122"/>
      <c r="C32" s="20" t="s">
        <v>16</v>
      </c>
      <c r="D32" s="157"/>
      <c r="E32" s="157"/>
      <c r="F32" s="157"/>
      <c r="G32" s="157"/>
      <c r="H32" s="169"/>
      <c r="I32" s="169"/>
      <c r="J32" s="169"/>
      <c r="K32" s="169"/>
      <c r="L32" s="153"/>
      <c r="M32" s="123">
        <v>0</v>
      </c>
      <c r="N32" s="123">
        <v>0</v>
      </c>
      <c r="O32" s="120">
        <v>0</v>
      </c>
      <c r="P32" s="197">
        <f t="shared" si="0"/>
        <v>0</v>
      </c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spans="1:26" ht="12.75" customHeight="1" x14ac:dyDescent="0.2">
      <c r="A33" s="95"/>
      <c r="B33" s="141" t="str">
        <f>B26</f>
        <v>Beenish Sami</v>
      </c>
      <c r="C33" s="131" t="s">
        <v>241</v>
      </c>
      <c r="D33" s="132"/>
      <c r="E33" s="132"/>
      <c r="F33" s="132"/>
      <c r="G33" s="132"/>
      <c r="H33" s="132"/>
      <c r="I33" s="132"/>
      <c r="J33" s="132"/>
      <c r="K33" s="132"/>
      <c r="L33" s="132"/>
      <c r="M33" s="132">
        <f t="shared" ref="M33:O33" si="3">SUM(M26:M32)</f>
        <v>0.9</v>
      </c>
      <c r="N33" s="132">
        <f t="shared" si="3"/>
        <v>0.8</v>
      </c>
      <c r="O33" s="198">
        <f t="shared" si="3"/>
        <v>0.7</v>
      </c>
      <c r="P33" s="199">
        <f t="shared" si="0"/>
        <v>0.80000000000000016</v>
      </c>
      <c r="Q33" s="207"/>
      <c r="R33" s="95"/>
      <c r="S33" s="95"/>
      <c r="T33" s="95"/>
      <c r="U33" s="95"/>
      <c r="V33" s="95"/>
      <c r="W33" s="95"/>
      <c r="X33" s="95"/>
      <c r="Y33" s="95"/>
      <c r="Z33" s="95"/>
    </row>
    <row r="34" spans="1:26" ht="12.75" customHeight="1" x14ac:dyDescent="0.2">
      <c r="A34" s="95"/>
      <c r="B34" s="142" t="s">
        <v>247</v>
      </c>
      <c r="C34" s="13" t="s">
        <v>9</v>
      </c>
      <c r="D34" s="143">
        <v>0</v>
      </c>
      <c r="E34" s="143">
        <v>0</v>
      </c>
      <c r="F34" s="143">
        <v>0</v>
      </c>
      <c r="G34" s="143">
        <v>0</v>
      </c>
      <c r="H34" s="144">
        <v>0</v>
      </c>
      <c r="I34" s="144">
        <v>0</v>
      </c>
      <c r="J34" s="144">
        <v>0</v>
      </c>
      <c r="K34" s="144">
        <v>0</v>
      </c>
      <c r="L34" s="123">
        <v>0</v>
      </c>
      <c r="M34" s="123">
        <v>0</v>
      </c>
      <c r="N34" s="123">
        <v>0</v>
      </c>
      <c r="O34" s="120">
        <v>0</v>
      </c>
      <c r="P34" s="208">
        <f t="shared" si="0"/>
        <v>0</v>
      </c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spans="1:26" ht="12.75" customHeight="1" x14ac:dyDescent="0.2">
      <c r="A35" s="95"/>
      <c r="B35" s="19" t="s">
        <v>34</v>
      </c>
      <c r="C35" s="20" t="s">
        <v>11</v>
      </c>
      <c r="D35" s="143">
        <v>0</v>
      </c>
      <c r="E35" s="143">
        <v>0</v>
      </c>
      <c r="F35" s="143">
        <v>0</v>
      </c>
      <c r="G35" s="143">
        <v>0</v>
      </c>
      <c r="H35" s="144">
        <v>0</v>
      </c>
      <c r="I35" s="144">
        <v>0</v>
      </c>
      <c r="J35" s="144">
        <v>0</v>
      </c>
      <c r="K35" s="144">
        <v>0</v>
      </c>
      <c r="L35" s="123">
        <v>0</v>
      </c>
      <c r="M35" s="123">
        <v>0</v>
      </c>
      <c r="N35" s="123">
        <v>0</v>
      </c>
      <c r="O35" s="120">
        <v>0</v>
      </c>
      <c r="P35" s="197">
        <f t="shared" si="0"/>
        <v>0</v>
      </c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spans="1:26" ht="12.75" customHeight="1" x14ac:dyDescent="0.2">
      <c r="A36" s="95"/>
      <c r="B36" s="122"/>
      <c r="C36" s="20" t="s">
        <v>12</v>
      </c>
      <c r="D36" s="143">
        <v>0</v>
      </c>
      <c r="E36" s="143">
        <v>0</v>
      </c>
      <c r="F36" s="143">
        <v>0</v>
      </c>
      <c r="G36" s="143">
        <v>0.05</v>
      </c>
      <c r="H36" s="144">
        <v>0.05</v>
      </c>
      <c r="I36" s="144">
        <v>0.05</v>
      </c>
      <c r="J36" s="144">
        <v>0.05</v>
      </c>
      <c r="K36" s="144">
        <v>0.05</v>
      </c>
      <c r="L36" s="123">
        <v>0.05</v>
      </c>
      <c r="M36" s="123">
        <v>0.05</v>
      </c>
      <c r="N36" s="123">
        <v>0.05</v>
      </c>
      <c r="O36" s="120">
        <v>0.05</v>
      </c>
      <c r="P36" s="197">
        <f t="shared" si="0"/>
        <v>3.7499999999999999E-2</v>
      </c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spans="1:26" ht="12.75" customHeight="1" x14ac:dyDescent="0.2">
      <c r="A37" s="95"/>
      <c r="B37" s="122"/>
      <c r="C37" s="20" t="s">
        <v>13</v>
      </c>
      <c r="D37" s="143">
        <v>0.9</v>
      </c>
      <c r="E37" s="143">
        <v>0.9</v>
      </c>
      <c r="F37" s="143">
        <v>0.9</v>
      </c>
      <c r="G37" s="143">
        <v>0.85</v>
      </c>
      <c r="H37" s="144">
        <v>0.85</v>
      </c>
      <c r="I37" s="144">
        <v>0.85</v>
      </c>
      <c r="J37" s="144">
        <v>0.85</v>
      </c>
      <c r="K37" s="144">
        <v>0.8</v>
      </c>
      <c r="L37" s="123">
        <v>0.8</v>
      </c>
      <c r="M37" s="123">
        <v>0.75</v>
      </c>
      <c r="N37" s="123">
        <v>0.7</v>
      </c>
      <c r="O37" s="120">
        <v>0.7</v>
      </c>
      <c r="P37" s="197">
        <f t="shared" si="0"/>
        <v>0.82083333333333319</v>
      </c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spans="1:26" ht="12.75" customHeight="1" x14ac:dyDescent="0.2">
      <c r="A38" s="95"/>
      <c r="B38" s="122"/>
      <c r="C38" s="20" t="s">
        <v>14</v>
      </c>
      <c r="D38" s="143">
        <v>0</v>
      </c>
      <c r="E38" s="143">
        <v>0</v>
      </c>
      <c r="F38" s="143">
        <v>0</v>
      </c>
      <c r="G38" s="143">
        <v>0</v>
      </c>
      <c r="H38" s="144">
        <v>0</v>
      </c>
      <c r="I38" s="144">
        <v>0</v>
      </c>
      <c r="J38" s="144">
        <v>0</v>
      </c>
      <c r="K38" s="144">
        <v>0</v>
      </c>
      <c r="L38" s="123">
        <v>0</v>
      </c>
      <c r="M38" s="123">
        <v>0</v>
      </c>
      <c r="N38" s="123">
        <v>0</v>
      </c>
      <c r="O38" s="120">
        <v>0</v>
      </c>
      <c r="P38" s="197">
        <f t="shared" si="0"/>
        <v>0</v>
      </c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spans="1:26" ht="12.75" customHeight="1" x14ac:dyDescent="0.2">
      <c r="A39" s="95"/>
      <c r="B39" s="122"/>
      <c r="C39" s="20" t="s">
        <v>15</v>
      </c>
      <c r="D39" s="143">
        <v>0.05</v>
      </c>
      <c r="E39" s="143">
        <v>0.05</v>
      </c>
      <c r="F39" s="143">
        <v>0.05</v>
      </c>
      <c r="G39" s="143">
        <v>0.05</v>
      </c>
      <c r="H39" s="144">
        <v>0.05</v>
      </c>
      <c r="I39" s="144">
        <v>0.05</v>
      </c>
      <c r="J39" s="144">
        <v>0.05</v>
      </c>
      <c r="K39" s="144">
        <v>0.05</v>
      </c>
      <c r="L39" s="123">
        <v>0.05</v>
      </c>
      <c r="M39" s="123">
        <v>0.05</v>
      </c>
      <c r="N39" s="123">
        <v>0.05</v>
      </c>
      <c r="O39" s="120">
        <v>0.05</v>
      </c>
      <c r="P39" s="197">
        <f t="shared" si="0"/>
        <v>4.9999999999999996E-2</v>
      </c>
      <c r="Q39" s="95" t="s">
        <v>350</v>
      </c>
      <c r="R39" s="95"/>
      <c r="S39" s="95"/>
      <c r="T39" s="95"/>
      <c r="U39" s="95"/>
      <c r="V39" s="95"/>
      <c r="W39" s="95"/>
      <c r="X39" s="95"/>
      <c r="Y39" s="95"/>
      <c r="Z39" s="95"/>
    </row>
    <row r="40" spans="1:26" ht="12.75" customHeight="1" x14ac:dyDescent="0.2">
      <c r="A40" s="95"/>
      <c r="B40" s="122"/>
      <c r="C40" s="20" t="s">
        <v>16</v>
      </c>
      <c r="D40" s="143">
        <v>0</v>
      </c>
      <c r="E40" s="143">
        <v>0</v>
      </c>
      <c r="F40" s="143">
        <v>0</v>
      </c>
      <c r="G40" s="143">
        <v>0</v>
      </c>
      <c r="H40" s="144">
        <v>0</v>
      </c>
      <c r="I40" s="144">
        <v>0</v>
      </c>
      <c r="J40" s="144">
        <v>0</v>
      </c>
      <c r="K40" s="144">
        <v>0</v>
      </c>
      <c r="L40" s="123">
        <v>0</v>
      </c>
      <c r="M40" s="123">
        <v>0</v>
      </c>
      <c r="N40" s="123">
        <v>0</v>
      </c>
      <c r="O40" s="120">
        <v>0</v>
      </c>
      <c r="P40" s="197">
        <f t="shared" si="0"/>
        <v>0</v>
      </c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spans="1:26" ht="12.75" customHeight="1" x14ac:dyDescent="0.2">
      <c r="A41" s="95"/>
      <c r="B41" s="146" t="str">
        <f>B34</f>
        <v>Zaw Htut</v>
      </c>
      <c r="C41" s="147" t="s">
        <v>241</v>
      </c>
      <c r="D41" s="148">
        <f t="shared" ref="D41:O41" si="4">SUM(D34:D40)</f>
        <v>0.95000000000000007</v>
      </c>
      <c r="E41" s="148">
        <f t="shared" si="4"/>
        <v>0.95000000000000007</v>
      </c>
      <c r="F41" s="148">
        <f t="shared" si="4"/>
        <v>0.95000000000000007</v>
      </c>
      <c r="G41" s="148">
        <f t="shared" si="4"/>
        <v>0.95000000000000007</v>
      </c>
      <c r="H41" s="148">
        <f t="shared" si="4"/>
        <v>0.95000000000000007</v>
      </c>
      <c r="I41" s="148">
        <f t="shared" si="4"/>
        <v>0.95000000000000007</v>
      </c>
      <c r="J41" s="148">
        <f t="shared" si="4"/>
        <v>0.95000000000000007</v>
      </c>
      <c r="K41" s="148">
        <f t="shared" si="4"/>
        <v>0.90000000000000013</v>
      </c>
      <c r="L41" s="148">
        <f t="shared" si="4"/>
        <v>0.90000000000000013</v>
      </c>
      <c r="M41" s="148">
        <f t="shared" si="4"/>
        <v>0.85000000000000009</v>
      </c>
      <c r="N41" s="148">
        <f t="shared" si="4"/>
        <v>0.8</v>
      </c>
      <c r="O41" s="209">
        <f t="shared" si="4"/>
        <v>0.8</v>
      </c>
      <c r="P41" s="210">
        <f t="shared" si="0"/>
        <v>0.90833333333333355</v>
      </c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spans="1:26" ht="12.75" customHeight="1" x14ac:dyDescent="0.2">
      <c r="A42" s="95"/>
      <c r="B42" s="111" t="s">
        <v>83</v>
      </c>
      <c r="C42" s="36" t="s">
        <v>9</v>
      </c>
      <c r="D42" s="166"/>
      <c r="E42" s="166"/>
      <c r="F42" s="166"/>
      <c r="G42" s="166"/>
      <c r="H42" s="167"/>
      <c r="I42" s="150">
        <v>0</v>
      </c>
      <c r="J42" s="150">
        <v>0</v>
      </c>
      <c r="K42" s="150">
        <v>0</v>
      </c>
      <c r="L42" s="112">
        <v>0</v>
      </c>
      <c r="M42" s="112">
        <v>0</v>
      </c>
      <c r="N42" s="112">
        <v>0</v>
      </c>
      <c r="O42" s="113">
        <v>0</v>
      </c>
      <c r="P42" s="196">
        <f t="shared" si="0"/>
        <v>0</v>
      </c>
      <c r="Q42" s="195"/>
      <c r="R42" s="95"/>
      <c r="S42" s="95"/>
      <c r="T42" s="95"/>
      <c r="U42" s="95"/>
      <c r="V42" s="95"/>
      <c r="W42" s="95"/>
      <c r="X42" s="95"/>
      <c r="Y42" s="95"/>
      <c r="Z42" s="95"/>
    </row>
    <row r="43" spans="1:26" ht="12.75" customHeight="1" x14ac:dyDescent="0.2">
      <c r="A43" s="95"/>
      <c r="B43" s="19" t="s">
        <v>248</v>
      </c>
      <c r="C43" s="20" t="s">
        <v>11</v>
      </c>
      <c r="D43" s="157"/>
      <c r="E43" s="157"/>
      <c r="F43" s="157"/>
      <c r="G43" s="157"/>
      <c r="H43" s="169"/>
      <c r="I43" s="144">
        <v>0</v>
      </c>
      <c r="J43" s="144">
        <v>0</v>
      </c>
      <c r="K43" s="144">
        <v>0</v>
      </c>
      <c r="L43" s="123">
        <v>0</v>
      </c>
      <c r="M43" s="123">
        <v>0</v>
      </c>
      <c r="N43" s="123">
        <v>0</v>
      </c>
      <c r="O43" s="120">
        <v>0</v>
      </c>
      <c r="P43" s="197">
        <f t="shared" si="0"/>
        <v>0</v>
      </c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spans="1:26" ht="12.75" customHeight="1" x14ac:dyDescent="0.2">
      <c r="A44" s="95"/>
      <c r="B44" s="122"/>
      <c r="C44" s="20" t="s">
        <v>12</v>
      </c>
      <c r="D44" s="157"/>
      <c r="E44" s="157"/>
      <c r="F44" s="157"/>
      <c r="G44" s="157"/>
      <c r="H44" s="169"/>
      <c r="I44" s="144">
        <v>0</v>
      </c>
      <c r="J44" s="144">
        <v>0</v>
      </c>
      <c r="K44" s="144">
        <v>0</v>
      </c>
      <c r="L44" s="123">
        <v>0</v>
      </c>
      <c r="M44" s="123">
        <v>0</v>
      </c>
      <c r="N44" s="123">
        <v>0</v>
      </c>
      <c r="O44" s="120">
        <v>0</v>
      </c>
      <c r="P44" s="197">
        <f t="shared" si="0"/>
        <v>0</v>
      </c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spans="1:26" ht="12.75" customHeight="1" x14ac:dyDescent="0.2">
      <c r="A45" s="95"/>
      <c r="B45" s="122"/>
      <c r="C45" s="20" t="s">
        <v>13</v>
      </c>
      <c r="D45" s="157"/>
      <c r="E45" s="157"/>
      <c r="F45" s="157"/>
      <c r="G45" s="157"/>
      <c r="H45" s="169"/>
      <c r="I45" s="144">
        <v>0.85</v>
      </c>
      <c r="J45" s="144">
        <v>0.85</v>
      </c>
      <c r="K45" s="144">
        <v>0.8</v>
      </c>
      <c r="L45" s="123">
        <v>0.8</v>
      </c>
      <c r="M45" s="123">
        <v>0.75</v>
      </c>
      <c r="N45" s="123">
        <v>0.7</v>
      </c>
      <c r="O45" s="120">
        <v>0.7</v>
      </c>
      <c r="P45" s="197">
        <f t="shared" si="0"/>
        <v>0.77857142857142858</v>
      </c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spans="1:26" ht="12.75" customHeight="1" x14ac:dyDescent="0.2">
      <c r="A46" s="95"/>
      <c r="B46" s="122"/>
      <c r="C46" s="20" t="s">
        <v>14</v>
      </c>
      <c r="D46" s="157"/>
      <c r="E46" s="157"/>
      <c r="F46" s="157"/>
      <c r="G46" s="157"/>
      <c r="H46" s="169"/>
      <c r="I46" s="144">
        <v>0</v>
      </c>
      <c r="J46" s="144">
        <v>0</v>
      </c>
      <c r="K46" s="144">
        <v>0</v>
      </c>
      <c r="L46" s="123">
        <v>0</v>
      </c>
      <c r="M46" s="123">
        <v>0</v>
      </c>
      <c r="N46" s="123">
        <v>0</v>
      </c>
      <c r="O46" s="120">
        <v>0</v>
      </c>
      <c r="P46" s="197">
        <f t="shared" si="0"/>
        <v>0</v>
      </c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spans="1:26" ht="12.75" customHeight="1" x14ac:dyDescent="0.2">
      <c r="A47" s="95"/>
      <c r="B47" s="122"/>
      <c r="C47" s="20" t="s">
        <v>15</v>
      </c>
      <c r="D47" s="157"/>
      <c r="E47" s="157"/>
      <c r="F47" s="157"/>
      <c r="G47" s="157"/>
      <c r="H47" s="169"/>
      <c r="I47" s="144">
        <v>0.05</v>
      </c>
      <c r="J47" s="144">
        <v>0.05</v>
      </c>
      <c r="K47" s="144">
        <v>0.05</v>
      </c>
      <c r="L47" s="123">
        <v>0.05</v>
      </c>
      <c r="M47" s="123">
        <v>0.05</v>
      </c>
      <c r="N47" s="123">
        <v>0.05</v>
      </c>
      <c r="O47" s="120">
        <v>0.05</v>
      </c>
      <c r="P47" s="197">
        <f t="shared" si="0"/>
        <v>4.9999999999999996E-2</v>
      </c>
      <c r="Q47" s="95" t="s">
        <v>351</v>
      </c>
      <c r="R47" s="95"/>
      <c r="S47" s="95"/>
      <c r="T47" s="95"/>
      <c r="U47" s="95"/>
      <c r="V47" s="95"/>
      <c r="W47" s="95"/>
      <c r="X47" s="95"/>
      <c r="Y47" s="95"/>
      <c r="Z47" s="95"/>
    </row>
    <row r="48" spans="1:26" ht="12.75" customHeight="1" x14ac:dyDescent="0.2">
      <c r="A48" s="95"/>
      <c r="B48" s="122"/>
      <c r="C48" s="20" t="s">
        <v>16</v>
      </c>
      <c r="D48" s="157"/>
      <c r="E48" s="157"/>
      <c r="F48" s="157"/>
      <c r="G48" s="157"/>
      <c r="H48" s="169"/>
      <c r="I48" s="144">
        <v>0</v>
      </c>
      <c r="J48" s="144">
        <v>0</v>
      </c>
      <c r="K48" s="144">
        <v>0</v>
      </c>
      <c r="L48" s="123">
        <v>0</v>
      </c>
      <c r="M48" s="123">
        <v>0</v>
      </c>
      <c r="N48" s="123">
        <v>0</v>
      </c>
      <c r="O48" s="120">
        <v>0</v>
      </c>
      <c r="P48" s="197">
        <f t="shared" si="0"/>
        <v>0</v>
      </c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spans="1:26" ht="12.75" customHeight="1" x14ac:dyDescent="0.2">
      <c r="A49" s="95"/>
      <c r="B49" s="141" t="str">
        <f>B42</f>
        <v>Shawn Ma</v>
      </c>
      <c r="C49" s="131" t="s">
        <v>241</v>
      </c>
      <c r="D49" s="132"/>
      <c r="E49" s="132"/>
      <c r="F49" s="132"/>
      <c r="G49" s="132"/>
      <c r="H49" s="132"/>
      <c r="I49" s="132">
        <f t="shared" ref="I49:O49" si="5">SUM(I42:I48)</f>
        <v>0.9</v>
      </c>
      <c r="J49" s="132">
        <f t="shared" si="5"/>
        <v>0.9</v>
      </c>
      <c r="K49" s="132">
        <f t="shared" si="5"/>
        <v>0.85000000000000009</v>
      </c>
      <c r="L49" s="132">
        <f t="shared" si="5"/>
        <v>0.85000000000000009</v>
      </c>
      <c r="M49" s="132">
        <f t="shared" si="5"/>
        <v>0.8</v>
      </c>
      <c r="N49" s="132">
        <f t="shared" si="5"/>
        <v>0.75</v>
      </c>
      <c r="O49" s="198">
        <f t="shared" si="5"/>
        <v>0.75</v>
      </c>
      <c r="P49" s="211">
        <f t="shared" si="0"/>
        <v>0.82857142857142863</v>
      </c>
      <c r="Q49" s="212"/>
      <c r="R49" s="95"/>
      <c r="S49" s="95"/>
      <c r="T49" s="95"/>
      <c r="U49" s="95"/>
      <c r="V49" s="95"/>
      <c r="W49" s="95"/>
      <c r="X49" s="95"/>
      <c r="Y49" s="95"/>
      <c r="Z49" s="95"/>
    </row>
    <row r="50" spans="1:26" ht="12.75" customHeight="1" x14ac:dyDescent="0.2">
      <c r="A50" s="95"/>
      <c r="B50" s="111" t="s">
        <v>249</v>
      </c>
      <c r="C50" s="36" t="s">
        <v>9</v>
      </c>
      <c r="D50" s="166"/>
      <c r="E50" s="166"/>
      <c r="F50" s="166"/>
      <c r="G50" s="166"/>
      <c r="H50" s="167"/>
      <c r="I50" s="167"/>
      <c r="J50" s="167"/>
      <c r="K50" s="150">
        <v>0</v>
      </c>
      <c r="L50" s="112">
        <v>0</v>
      </c>
      <c r="M50" s="112">
        <v>0</v>
      </c>
      <c r="N50" s="112">
        <v>0</v>
      </c>
      <c r="O50" s="113">
        <v>0</v>
      </c>
      <c r="P50" s="196">
        <f t="shared" si="0"/>
        <v>0</v>
      </c>
      <c r="Q50" s="195"/>
      <c r="R50" s="95"/>
      <c r="S50" s="95"/>
      <c r="T50" s="95"/>
      <c r="U50" s="95"/>
      <c r="V50" s="95"/>
      <c r="W50" s="95"/>
      <c r="X50" s="95"/>
      <c r="Y50" s="95"/>
      <c r="Z50" s="95"/>
    </row>
    <row r="51" spans="1:26" ht="12.75" customHeight="1" x14ac:dyDescent="0.2">
      <c r="A51" s="95"/>
      <c r="B51" s="19" t="s">
        <v>250</v>
      </c>
      <c r="C51" s="20" t="s">
        <v>11</v>
      </c>
      <c r="D51" s="157"/>
      <c r="E51" s="157"/>
      <c r="F51" s="157"/>
      <c r="G51" s="157"/>
      <c r="H51" s="169"/>
      <c r="I51" s="169"/>
      <c r="J51" s="169"/>
      <c r="K51" s="144">
        <v>0</v>
      </c>
      <c r="L51" s="123">
        <v>0</v>
      </c>
      <c r="M51" s="123">
        <v>0</v>
      </c>
      <c r="N51" s="123">
        <v>0</v>
      </c>
      <c r="O51" s="120">
        <v>0</v>
      </c>
      <c r="P51" s="197">
        <f t="shared" si="0"/>
        <v>0</v>
      </c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spans="1:26" ht="12.75" customHeight="1" x14ac:dyDescent="0.2">
      <c r="A52" s="95"/>
      <c r="B52" s="122"/>
      <c r="C52" s="20" t="s">
        <v>12</v>
      </c>
      <c r="D52" s="157"/>
      <c r="E52" s="157"/>
      <c r="F52" s="157"/>
      <c r="G52" s="157"/>
      <c r="H52" s="169"/>
      <c r="I52" s="169"/>
      <c r="J52" s="169"/>
      <c r="K52" s="144">
        <v>0</v>
      </c>
      <c r="L52" s="123">
        <v>0</v>
      </c>
      <c r="M52" s="123">
        <v>0</v>
      </c>
      <c r="N52" s="123">
        <v>0</v>
      </c>
      <c r="O52" s="120">
        <v>0</v>
      </c>
      <c r="P52" s="197">
        <f t="shared" si="0"/>
        <v>0</v>
      </c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spans="1:26" ht="12.75" customHeight="1" x14ac:dyDescent="0.2">
      <c r="A53" s="95"/>
      <c r="B53" s="122"/>
      <c r="C53" s="20" t="s">
        <v>13</v>
      </c>
      <c r="D53" s="157"/>
      <c r="E53" s="157"/>
      <c r="F53" s="157"/>
      <c r="G53" s="157"/>
      <c r="H53" s="169"/>
      <c r="I53" s="169"/>
      <c r="J53" s="169"/>
      <c r="K53" s="144">
        <v>0.8</v>
      </c>
      <c r="L53" s="123">
        <v>0.8</v>
      </c>
      <c r="M53" s="123">
        <v>0.75</v>
      </c>
      <c r="N53" s="123">
        <v>0.7</v>
      </c>
      <c r="O53" s="120">
        <v>0.7</v>
      </c>
      <c r="P53" s="197">
        <f t="shared" si="0"/>
        <v>0.75</v>
      </c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spans="1:26" ht="12.75" customHeight="1" x14ac:dyDescent="0.2">
      <c r="A54" s="95"/>
      <c r="B54" s="122"/>
      <c r="C54" s="20" t="s">
        <v>14</v>
      </c>
      <c r="D54" s="157"/>
      <c r="E54" s="157"/>
      <c r="F54" s="157"/>
      <c r="G54" s="157"/>
      <c r="H54" s="169"/>
      <c r="I54" s="169"/>
      <c r="J54" s="169"/>
      <c r="K54" s="144">
        <v>0</v>
      </c>
      <c r="L54" s="123">
        <v>0</v>
      </c>
      <c r="M54" s="123">
        <v>0</v>
      </c>
      <c r="N54" s="123">
        <v>0</v>
      </c>
      <c r="O54" s="120">
        <v>0</v>
      </c>
      <c r="P54" s="197">
        <f t="shared" si="0"/>
        <v>0</v>
      </c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spans="1:26" ht="12.75" customHeight="1" x14ac:dyDescent="0.2">
      <c r="A55" s="95"/>
      <c r="B55" s="122"/>
      <c r="C55" s="20" t="s">
        <v>15</v>
      </c>
      <c r="D55" s="157"/>
      <c r="E55" s="157"/>
      <c r="F55" s="157"/>
      <c r="G55" s="157"/>
      <c r="H55" s="169"/>
      <c r="I55" s="169"/>
      <c r="J55" s="169"/>
      <c r="K55" s="144">
        <v>0.05</v>
      </c>
      <c r="L55" s="123">
        <v>0.05</v>
      </c>
      <c r="M55" s="123">
        <v>0.05</v>
      </c>
      <c r="N55" s="123">
        <v>0.05</v>
      </c>
      <c r="O55" s="120">
        <v>0.05</v>
      </c>
      <c r="P55" s="197">
        <f t="shared" si="0"/>
        <v>0.05</v>
      </c>
      <c r="Q55" s="95" t="s">
        <v>352</v>
      </c>
      <c r="R55" s="95"/>
      <c r="S55" s="95"/>
      <c r="T55" s="95"/>
      <c r="U55" s="95"/>
      <c r="V55" s="95"/>
      <c r="W55" s="95"/>
      <c r="X55" s="95"/>
      <c r="Y55" s="95"/>
      <c r="Z55" s="95"/>
    </row>
    <row r="56" spans="1:26" ht="12.75" customHeight="1" x14ac:dyDescent="0.2">
      <c r="A56" s="95"/>
      <c r="B56" s="122"/>
      <c r="C56" s="20" t="s">
        <v>16</v>
      </c>
      <c r="D56" s="157"/>
      <c r="E56" s="157"/>
      <c r="F56" s="157"/>
      <c r="G56" s="157"/>
      <c r="H56" s="169"/>
      <c r="I56" s="169"/>
      <c r="J56" s="169"/>
      <c r="K56" s="144">
        <v>0</v>
      </c>
      <c r="L56" s="123">
        <v>0</v>
      </c>
      <c r="M56" s="123">
        <v>0</v>
      </c>
      <c r="N56" s="123">
        <v>0</v>
      </c>
      <c r="O56" s="120">
        <v>0</v>
      </c>
      <c r="P56" s="197">
        <f t="shared" si="0"/>
        <v>0</v>
      </c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spans="1:26" ht="12.75" customHeight="1" x14ac:dyDescent="0.2">
      <c r="A57" s="95"/>
      <c r="B57" s="138" t="s">
        <v>251</v>
      </c>
      <c r="C57" s="131" t="s">
        <v>241</v>
      </c>
      <c r="D57" s="132"/>
      <c r="E57" s="132"/>
      <c r="F57" s="132"/>
      <c r="G57" s="132"/>
      <c r="H57" s="132"/>
      <c r="I57" s="132"/>
      <c r="J57" s="132"/>
      <c r="K57" s="132">
        <f t="shared" ref="K57:O57" si="6">SUM(K50:K56)</f>
        <v>0.85000000000000009</v>
      </c>
      <c r="L57" s="132">
        <f t="shared" si="6"/>
        <v>0.85000000000000009</v>
      </c>
      <c r="M57" s="132">
        <f t="shared" si="6"/>
        <v>0.8</v>
      </c>
      <c r="N57" s="132">
        <f t="shared" si="6"/>
        <v>0.75</v>
      </c>
      <c r="O57" s="198">
        <f t="shared" si="6"/>
        <v>0.75</v>
      </c>
      <c r="P57" s="211">
        <f t="shared" si="0"/>
        <v>0.8</v>
      </c>
      <c r="Q57" s="212"/>
      <c r="R57" s="95"/>
      <c r="S57" s="95"/>
      <c r="T57" s="95"/>
      <c r="U57" s="95"/>
      <c r="V57" s="95"/>
      <c r="W57" s="95"/>
      <c r="X57" s="95"/>
      <c r="Y57" s="95"/>
      <c r="Z57" s="95"/>
    </row>
    <row r="58" spans="1:26" ht="12.75" customHeight="1" x14ac:dyDescent="0.2">
      <c r="A58" s="95"/>
      <c r="B58" s="111" t="s">
        <v>252</v>
      </c>
      <c r="C58" s="36" t="s">
        <v>9</v>
      </c>
      <c r="D58" s="149">
        <v>0</v>
      </c>
      <c r="E58" s="149">
        <v>0</v>
      </c>
      <c r="F58" s="149">
        <v>0</v>
      </c>
      <c r="G58" s="149">
        <v>0</v>
      </c>
      <c r="H58" s="150">
        <v>0</v>
      </c>
      <c r="I58" s="150">
        <v>0</v>
      </c>
      <c r="J58" s="150">
        <v>0</v>
      </c>
      <c r="K58" s="150">
        <v>0</v>
      </c>
      <c r="L58" s="112">
        <v>0</v>
      </c>
      <c r="M58" s="112">
        <v>0</v>
      </c>
      <c r="N58" s="112">
        <v>0</v>
      </c>
      <c r="O58" s="113">
        <v>0</v>
      </c>
      <c r="P58" s="196">
        <f t="shared" si="0"/>
        <v>0</v>
      </c>
      <c r="Q58" s="195"/>
      <c r="R58" s="95"/>
      <c r="S58" s="95"/>
      <c r="T58" s="95"/>
      <c r="U58" s="95"/>
      <c r="V58" s="95"/>
      <c r="W58" s="95"/>
      <c r="X58" s="95"/>
      <c r="Y58" s="95"/>
      <c r="Z58" s="95"/>
    </row>
    <row r="59" spans="1:26" ht="12.75" customHeight="1" x14ac:dyDescent="0.2">
      <c r="A59" s="95"/>
      <c r="B59" s="19" t="s">
        <v>253</v>
      </c>
      <c r="C59" s="20" t="s">
        <v>11</v>
      </c>
      <c r="D59" s="143">
        <v>0</v>
      </c>
      <c r="E59" s="143">
        <v>0</v>
      </c>
      <c r="F59" s="143">
        <v>0</v>
      </c>
      <c r="G59" s="143">
        <v>0</v>
      </c>
      <c r="H59" s="144">
        <v>0</v>
      </c>
      <c r="I59" s="144">
        <v>0</v>
      </c>
      <c r="J59" s="144">
        <v>0</v>
      </c>
      <c r="K59" s="144">
        <v>0</v>
      </c>
      <c r="L59" s="123">
        <v>0</v>
      </c>
      <c r="M59" s="123">
        <v>0</v>
      </c>
      <c r="N59" s="123">
        <v>0</v>
      </c>
      <c r="O59" s="120">
        <v>0</v>
      </c>
      <c r="P59" s="197">
        <f t="shared" si="0"/>
        <v>0</v>
      </c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spans="1:26" ht="12.75" customHeight="1" x14ac:dyDescent="0.2">
      <c r="A60" s="95"/>
      <c r="B60" s="122"/>
      <c r="C60" s="20" t="s">
        <v>12</v>
      </c>
      <c r="D60" s="143">
        <v>0</v>
      </c>
      <c r="E60" s="143">
        <v>0</v>
      </c>
      <c r="F60" s="143">
        <v>0</v>
      </c>
      <c r="G60" s="143">
        <v>0</v>
      </c>
      <c r="H60" s="144">
        <v>0</v>
      </c>
      <c r="I60" s="144">
        <v>0</v>
      </c>
      <c r="J60" s="144">
        <v>0</v>
      </c>
      <c r="K60" s="144">
        <v>0</v>
      </c>
      <c r="L60" s="123">
        <v>0</v>
      </c>
      <c r="M60" s="123">
        <v>0</v>
      </c>
      <c r="N60" s="123">
        <v>0</v>
      </c>
      <c r="O60" s="120">
        <v>0</v>
      </c>
      <c r="P60" s="197">
        <f t="shared" si="0"/>
        <v>0</v>
      </c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spans="1:26" ht="12.75" customHeight="1" x14ac:dyDescent="0.2">
      <c r="A61" s="95"/>
      <c r="B61" s="122"/>
      <c r="C61" s="20" t="s">
        <v>13</v>
      </c>
      <c r="D61" s="143">
        <v>0</v>
      </c>
      <c r="E61" s="143">
        <v>0</v>
      </c>
      <c r="F61" s="143">
        <v>0</v>
      </c>
      <c r="G61" s="143">
        <v>0</v>
      </c>
      <c r="H61" s="144">
        <v>0</v>
      </c>
      <c r="I61" s="144">
        <v>0</v>
      </c>
      <c r="J61" s="144">
        <v>0</v>
      </c>
      <c r="K61" s="144">
        <v>0</v>
      </c>
      <c r="L61" s="123">
        <v>0</v>
      </c>
      <c r="M61" s="123">
        <v>0</v>
      </c>
      <c r="N61" s="123">
        <v>0</v>
      </c>
      <c r="O61" s="120">
        <v>0</v>
      </c>
      <c r="P61" s="197">
        <f t="shared" si="0"/>
        <v>0</v>
      </c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2.75" customHeight="1" x14ac:dyDescent="0.2">
      <c r="A62" s="95"/>
      <c r="B62" s="122"/>
      <c r="C62" s="20" t="s">
        <v>14</v>
      </c>
      <c r="D62" s="143">
        <v>0.95</v>
      </c>
      <c r="E62" s="143">
        <v>0.95</v>
      </c>
      <c r="F62" s="143">
        <v>0.95</v>
      </c>
      <c r="G62" s="143">
        <v>0.95</v>
      </c>
      <c r="H62" s="143">
        <v>0.95</v>
      </c>
      <c r="I62" s="143">
        <v>0.95</v>
      </c>
      <c r="J62" s="143">
        <v>0.95</v>
      </c>
      <c r="K62" s="143">
        <v>0.95</v>
      </c>
      <c r="L62" s="143">
        <v>0.9</v>
      </c>
      <c r="M62" s="143">
        <v>0.95</v>
      </c>
      <c r="N62" s="143">
        <v>0.95</v>
      </c>
      <c r="O62" s="156">
        <v>0.95</v>
      </c>
      <c r="P62" s="197">
        <f t="shared" si="0"/>
        <v>0.94583333333333319</v>
      </c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spans="1:26" ht="12.75" customHeight="1" x14ac:dyDescent="0.2">
      <c r="A63" s="95"/>
      <c r="B63" s="122"/>
      <c r="C63" s="20" t="s">
        <v>15</v>
      </c>
      <c r="D63" s="143">
        <v>0</v>
      </c>
      <c r="E63" s="143">
        <v>0</v>
      </c>
      <c r="F63" s="143">
        <v>0</v>
      </c>
      <c r="G63" s="143">
        <v>0</v>
      </c>
      <c r="H63" s="144">
        <v>0</v>
      </c>
      <c r="I63" s="144">
        <v>0</v>
      </c>
      <c r="J63" s="144">
        <v>0</v>
      </c>
      <c r="K63" s="144">
        <v>0</v>
      </c>
      <c r="L63" s="123">
        <v>0</v>
      </c>
      <c r="M63" s="123">
        <v>0</v>
      </c>
      <c r="N63" s="123">
        <v>0</v>
      </c>
      <c r="O63" s="120">
        <v>0</v>
      </c>
      <c r="P63" s="197">
        <f t="shared" si="0"/>
        <v>0</v>
      </c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spans="1:26" ht="12.75" customHeight="1" x14ac:dyDescent="0.2">
      <c r="A64" s="95"/>
      <c r="B64" s="122"/>
      <c r="C64" s="20" t="s">
        <v>16</v>
      </c>
      <c r="D64" s="143">
        <v>0</v>
      </c>
      <c r="E64" s="143">
        <v>0</v>
      </c>
      <c r="F64" s="143">
        <v>0</v>
      </c>
      <c r="G64" s="143">
        <v>0</v>
      </c>
      <c r="H64" s="144">
        <v>0</v>
      </c>
      <c r="I64" s="144">
        <v>0</v>
      </c>
      <c r="J64" s="144">
        <v>0</v>
      </c>
      <c r="K64" s="144">
        <v>0</v>
      </c>
      <c r="L64" s="123">
        <v>0.05</v>
      </c>
      <c r="M64" s="123">
        <v>0</v>
      </c>
      <c r="N64" s="123">
        <v>0</v>
      </c>
      <c r="O64" s="120">
        <v>0</v>
      </c>
      <c r="P64" s="197">
        <f t="shared" si="0"/>
        <v>4.1666666666666666E-3</v>
      </c>
      <c r="Q64" s="95" t="s">
        <v>353</v>
      </c>
      <c r="R64" s="95"/>
      <c r="S64" s="95"/>
      <c r="T64" s="95"/>
      <c r="U64" s="95"/>
      <c r="V64" s="95"/>
      <c r="W64" s="95"/>
      <c r="X64" s="95"/>
      <c r="Y64" s="95"/>
      <c r="Z64" s="95"/>
    </row>
    <row r="65" spans="1:26" ht="12.75" customHeight="1" x14ac:dyDescent="0.2">
      <c r="A65" s="95"/>
      <c r="B65" s="138" t="s">
        <v>254</v>
      </c>
      <c r="C65" s="131" t="s">
        <v>241</v>
      </c>
      <c r="D65" s="132">
        <f t="shared" ref="D65:O65" si="7">SUM(D58:D64)</f>
        <v>0.95</v>
      </c>
      <c r="E65" s="132">
        <f t="shared" si="7"/>
        <v>0.95</v>
      </c>
      <c r="F65" s="132">
        <f t="shared" si="7"/>
        <v>0.95</v>
      </c>
      <c r="G65" s="132">
        <f t="shared" si="7"/>
        <v>0.95</v>
      </c>
      <c r="H65" s="132">
        <f t="shared" si="7"/>
        <v>0.95</v>
      </c>
      <c r="I65" s="132">
        <f t="shared" si="7"/>
        <v>0.95</v>
      </c>
      <c r="J65" s="132">
        <f t="shared" si="7"/>
        <v>0.95</v>
      </c>
      <c r="K65" s="132">
        <f t="shared" si="7"/>
        <v>0.95</v>
      </c>
      <c r="L65" s="132">
        <f t="shared" si="7"/>
        <v>0.95000000000000007</v>
      </c>
      <c r="M65" s="132">
        <f t="shared" si="7"/>
        <v>0.95</v>
      </c>
      <c r="N65" s="132">
        <f t="shared" si="7"/>
        <v>0.95</v>
      </c>
      <c r="O65" s="198">
        <f t="shared" si="7"/>
        <v>0.95</v>
      </c>
      <c r="P65" s="211">
        <f t="shared" si="0"/>
        <v>0.94999999999999984</v>
      </c>
      <c r="Q65" s="212"/>
      <c r="R65" s="95"/>
      <c r="S65" s="95"/>
      <c r="T65" s="95"/>
      <c r="U65" s="95"/>
      <c r="V65" s="95"/>
      <c r="W65" s="95"/>
      <c r="X65" s="95"/>
      <c r="Y65" s="95"/>
      <c r="Z65" s="95"/>
    </row>
    <row r="66" spans="1:26" ht="12.75" customHeight="1" x14ac:dyDescent="0.2">
      <c r="A66" s="95"/>
      <c r="B66" s="111" t="s">
        <v>255</v>
      </c>
      <c r="C66" s="36" t="s">
        <v>9</v>
      </c>
      <c r="D66" s="166"/>
      <c r="E66" s="149">
        <v>0</v>
      </c>
      <c r="F66" s="149">
        <v>0</v>
      </c>
      <c r="G66" s="149">
        <v>0</v>
      </c>
      <c r="H66" s="150">
        <v>0</v>
      </c>
      <c r="I66" s="150">
        <v>0</v>
      </c>
      <c r="J66" s="150">
        <v>0</v>
      </c>
      <c r="K66" s="150">
        <v>0</v>
      </c>
      <c r="L66" s="112">
        <v>0</v>
      </c>
      <c r="M66" s="112">
        <v>0</v>
      </c>
      <c r="N66" s="112">
        <v>0</v>
      </c>
      <c r="O66" s="113">
        <v>0</v>
      </c>
      <c r="P66" s="196">
        <f t="shared" si="0"/>
        <v>0</v>
      </c>
      <c r="Q66" s="195"/>
      <c r="R66" s="95"/>
      <c r="S66" s="95"/>
      <c r="T66" s="95"/>
      <c r="U66" s="95"/>
      <c r="V66" s="95"/>
      <c r="W66" s="95"/>
      <c r="X66" s="95"/>
      <c r="Y66" s="95"/>
      <c r="Z66" s="95"/>
    </row>
    <row r="67" spans="1:26" ht="12.75" customHeight="1" x14ac:dyDescent="0.2">
      <c r="A67" s="95"/>
      <c r="B67" s="19" t="s">
        <v>253</v>
      </c>
      <c r="C67" s="20" t="s">
        <v>11</v>
      </c>
      <c r="D67" s="157"/>
      <c r="E67" s="143">
        <v>0</v>
      </c>
      <c r="F67" s="143">
        <v>0</v>
      </c>
      <c r="G67" s="143">
        <v>0</v>
      </c>
      <c r="H67" s="144">
        <v>0</v>
      </c>
      <c r="I67" s="144">
        <v>0</v>
      </c>
      <c r="J67" s="144">
        <v>0</v>
      </c>
      <c r="K67" s="144">
        <v>0</v>
      </c>
      <c r="L67" s="123">
        <v>0</v>
      </c>
      <c r="M67" s="123">
        <v>0</v>
      </c>
      <c r="N67" s="123">
        <v>0</v>
      </c>
      <c r="O67" s="120">
        <v>0</v>
      </c>
      <c r="P67" s="197">
        <f t="shared" si="0"/>
        <v>0</v>
      </c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spans="1:26" ht="12.75" customHeight="1" x14ac:dyDescent="0.2">
      <c r="A68" s="95"/>
      <c r="B68" s="122"/>
      <c r="C68" s="20" t="s">
        <v>12</v>
      </c>
      <c r="D68" s="157"/>
      <c r="E68" s="143">
        <v>0</v>
      </c>
      <c r="F68" s="143">
        <v>0</v>
      </c>
      <c r="G68" s="143">
        <v>0</v>
      </c>
      <c r="H68" s="144">
        <v>0</v>
      </c>
      <c r="I68" s="144">
        <v>0</v>
      </c>
      <c r="J68" s="144">
        <v>0</v>
      </c>
      <c r="K68" s="144">
        <v>0</v>
      </c>
      <c r="L68" s="123">
        <v>0</v>
      </c>
      <c r="M68" s="123">
        <v>0</v>
      </c>
      <c r="N68" s="123">
        <v>0</v>
      </c>
      <c r="O68" s="120">
        <v>0</v>
      </c>
      <c r="P68" s="197">
        <f t="shared" si="0"/>
        <v>0</v>
      </c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spans="1:26" ht="12.75" customHeight="1" x14ac:dyDescent="0.2">
      <c r="A69" s="95"/>
      <c r="B69" s="122"/>
      <c r="C69" s="20" t="s">
        <v>13</v>
      </c>
      <c r="D69" s="157"/>
      <c r="E69" s="143">
        <v>0</v>
      </c>
      <c r="F69" s="143">
        <v>0</v>
      </c>
      <c r="G69" s="143">
        <v>0</v>
      </c>
      <c r="H69" s="144">
        <v>0</v>
      </c>
      <c r="I69" s="144">
        <v>0</v>
      </c>
      <c r="J69" s="144">
        <v>0</v>
      </c>
      <c r="K69" s="144">
        <v>0</v>
      </c>
      <c r="L69" s="123">
        <v>0</v>
      </c>
      <c r="M69" s="123">
        <v>0</v>
      </c>
      <c r="N69" s="123">
        <v>0</v>
      </c>
      <c r="O69" s="120">
        <v>0</v>
      </c>
      <c r="P69" s="197">
        <f t="shared" si="0"/>
        <v>0</v>
      </c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spans="1:26" ht="12.75" customHeight="1" x14ac:dyDescent="0.2">
      <c r="A70" s="95"/>
      <c r="B70" s="122"/>
      <c r="C70" s="20" t="s">
        <v>14</v>
      </c>
      <c r="D70" s="157"/>
      <c r="E70" s="143">
        <v>0.95</v>
      </c>
      <c r="F70" s="143">
        <v>0.95</v>
      </c>
      <c r="G70" s="143">
        <v>0.95</v>
      </c>
      <c r="H70" s="143">
        <v>0.95</v>
      </c>
      <c r="I70" s="143">
        <v>0.95</v>
      </c>
      <c r="J70" s="143">
        <v>0.95</v>
      </c>
      <c r="K70" s="143">
        <v>0.95</v>
      </c>
      <c r="L70" s="143">
        <v>0.9</v>
      </c>
      <c r="M70" s="143">
        <v>0.9</v>
      </c>
      <c r="N70" s="143">
        <v>0.9</v>
      </c>
      <c r="O70" s="156">
        <v>0.95</v>
      </c>
      <c r="P70" s="197">
        <f t="shared" si="0"/>
        <v>0.9363636363636364</v>
      </c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spans="1:26" ht="12.75" customHeight="1" x14ac:dyDescent="0.2">
      <c r="A71" s="95"/>
      <c r="B71" s="122"/>
      <c r="C71" s="20" t="s">
        <v>15</v>
      </c>
      <c r="D71" s="157"/>
      <c r="E71" s="143">
        <v>0</v>
      </c>
      <c r="F71" s="143">
        <v>0</v>
      </c>
      <c r="G71" s="143">
        <v>0</v>
      </c>
      <c r="H71" s="144">
        <v>0</v>
      </c>
      <c r="I71" s="144">
        <v>0</v>
      </c>
      <c r="J71" s="144">
        <v>0</v>
      </c>
      <c r="K71" s="144">
        <v>0</v>
      </c>
      <c r="L71" s="123">
        <v>0</v>
      </c>
      <c r="M71" s="123">
        <v>0</v>
      </c>
      <c r="N71" s="123">
        <v>0</v>
      </c>
      <c r="O71" s="120">
        <v>0</v>
      </c>
      <c r="P71" s="197">
        <f t="shared" si="0"/>
        <v>0</v>
      </c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spans="1:26" ht="12.75" customHeight="1" x14ac:dyDescent="0.2">
      <c r="A72" s="95"/>
      <c r="B72" s="122"/>
      <c r="C72" s="20" t="s">
        <v>16</v>
      </c>
      <c r="D72" s="157"/>
      <c r="E72" s="143">
        <v>0</v>
      </c>
      <c r="F72" s="143">
        <v>0</v>
      </c>
      <c r="G72" s="143">
        <v>0</v>
      </c>
      <c r="H72" s="144">
        <v>0</v>
      </c>
      <c r="I72" s="144">
        <v>0</v>
      </c>
      <c r="J72" s="144">
        <v>0</v>
      </c>
      <c r="K72" s="144">
        <v>0</v>
      </c>
      <c r="L72" s="123">
        <v>0.05</v>
      </c>
      <c r="M72" s="123">
        <v>0.05</v>
      </c>
      <c r="N72" s="123">
        <v>0.05</v>
      </c>
      <c r="O72" s="120"/>
      <c r="P72" s="197">
        <f t="shared" si="0"/>
        <v>1.5000000000000003E-2</v>
      </c>
      <c r="Q72" s="95" t="s">
        <v>354</v>
      </c>
      <c r="R72" s="95"/>
      <c r="S72" s="95"/>
      <c r="T72" s="95"/>
      <c r="U72" s="95"/>
      <c r="V72" s="95"/>
      <c r="W72" s="95"/>
      <c r="X72" s="95"/>
      <c r="Y72" s="95"/>
      <c r="Z72" s="95"/>
    </row>
    <row r="73" spans="1:26" ht="12.75" customHeight="1" x14ac:dyDescent="0.2">
      <c r="A73" s="95"/>
      <c r="B73" s="141" t="str">
        <f>B66</f>
        <v>Srujana Enugala</v>
      </c>
      <c r="C73" s="131" t="s">
        <v>241</v>
      </c>
      <c r="D73" s="132"/>
      <c r="E73" s="132">
        <f t="shared" ref="E73:O73" si="8">SUM(E66:E72)</f>
        <v>0.95</v>
      </c>
      <c r="F73" s="132">
        <f t="shared" si="8"/>
        <v>0.95</v>
      </c>
      <c r="G73" s="132">
        <f t="shared" si="8"/>
        <v>0.95</v>
      </c>
      <c r="H73" s="132">
        <f t="shared" si="8"/>
        <v>0.95</v>
      </c>
      <c r="I73" s="132">
        <f t="shared" si="8"/>
        <v>0.95</v>
      </c>
      <c r="J73" s="132">
        <f t="shared" si="8"/>
        <v>0.95</v>
      </c>
      <c r="K73" s="132">
        <f t="shared" si="8"/>
        <v>0.95</v>
      </c>
      <c r="L73" s="132">
        <f t="shared" si="8"/>
        <v>0.95000000000000007</v>
      </c>
      <c r="M73" s="132">
        <f t="shared" si="8"/>
        <v>0.95000000000000007</v>
      </c>
      <c r="N73" s="132">
        <f t="shared" si="8"/>
        <v>0.95000000000000007</v>
      </c>
      <c r="O73" s="198">
        <f t="shared" si="8"/>
        <v>0.95</v>
      </c>
      <c r="P73" s="211">
        <f t="shared" si="0"/>
        <v>0.95</v>
      </c>
      <c r="Q73" s="212"/>
      <c r="R73" s="95"/>
      <c r="S73" s="95"/>
      <c r="T73" s="95"/>
      <c r="U73" s="95"/>
      <c r="V73" s="95"/>
      <c r="W73" s="95"/>
      <c r="X73" s="95"/>
      <c r="Y73" s="95"/>
      <c r="Z73" s="95"/>
    </row>
    <row r="74" spans="1:26" ht="12.75" customHeight="1" x14ac:dyDescent="0.2">
      <c r="A74" s="95"/>
      <c r="B74" s="111" t="s">
        <v>256</v>
      </c>
      <c r="C74" s="36" t="s">
        <v>9</v>
      </c>
      <c r="D74" s="149">
        <v>0</v>
      </c>
      <c r="E74" s="149">
        <v>0</v>
      </c>
      <c r="F74" s="149">
        <v>0</v>
      </c>
      <c r="G74" s="149">
        <v>0</v>
      </c>
      <c r="H74" s="150">
        <v>0</v>
      </c>
      <c r="I74" s="150">
        <v>0</v>
      </c>
      <c r="J74" s="150">
        <v>0</v>
      </c>
      <c r="K74" s="150">
        <v>0</v>
      </c>
      <c r="L74" s="112">
        <v>0</v>
      </c>
      <c r="M74" s="112">
        <v>0</v>
      </c>
      <c r="N74" s="112">
        <v>0</v>
      </c>
      <c r="O74" s="113">
        <v>0</v>
      </c>
      <c r="P74" s="196">
        <f t="shared" si="0"/>
        <v>0</v>
      </c>
      <c r="Q74" s="195"/>
      <c r="R74" s="95"/>
      <c r="S74" s="95"/>
      <c r="T74" s="95"/>
      <c r="U74" s="95"/>
      <c r="V74" s="95"/>
      <c r="W74" s="95"/>
      <c r="X74" s="95"/>
      <c r="Y74" s="95"/>
      <c r="Z74" s="95"/>
    </row>
    <row r="75" spans="1:26" ht="12.75" customHeight="1" x14ac:dyDescent="0.2">
      <c r="A75" s="95"/>
      <c r="B75" s="19" t="s">
        <v>248</v>
      </c>
      <c r="C75" s="20" t="s">
        <v>11</v>
      </c>
      <c r="D75" s="143">
        <v>0</v>
      </c>
      <c r="E75" s="143">
        <v>0</v>
      </c>
      <c r="F75" s="143">
        <v>0</v>
      </c>
      <c r="G75" s="143">
        <v>0</v>
      </c>
      <c r="H75" s="144">
        <v>0</v>
      </c>
      <c r="I75" s="144">
        <v>0</v>
      </c>
      <c r="J75" s="144">
        <v>0</v>
      </c>
      <c r="K75" s="144">
        <v>0</v>
      </c>
      <c r="L75" s="123">
        <v>0</v>
      </c>
      <c r="M75" s="123">
        <v>0</v>
      </c>
      <c r="N75" s="123">
        <v>0</v>
      </c>
      <c r="O75" s="120">
        <v>0</v>
      </c>
      <c r="P75" s="197">
        <f t="shared" si="0"/>
        <v>0</v>
      </c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spans="1:26" ht="12.75" customHeight="1" x14ac:dyDescent="0.2">
      <c r="A76" s="95"/>
      <c r="B76" s="122"/>
      <c r="C76" s="20" t="s">
        <v>12</v>
      </c>
      <c r="D76" s="143">
        <v>0</v>
      </c>
      <c r="E76" s="143">
        <v>0</v>
      </c>
      <c r="F76" s="143">
        <v>0</v>
      </c>
      <c r="G76" s="143">
        <v>0</v>
      </c>
      <c r="H76" s="144">
        <v>0</v>
      </c>
      <c r="I76" s="144">
        <v>0</v>
      </c>
      <c r="J76" s="144">
        <v>0</v>
      </c>
      <c r="K76" s="144">
        <v>0</v>
      </c>
      <c r="L76" s="123">
        <v>0</v>
      </c>
      <c r="M76" s="123">
        <v>0</v>
      </c>
      <c r="N76" s="123">
        <v>0</v>
      </c>
      <c r="O76" s="120">
        <v>0</v>
      </c>
      <c r="P76" s="197">
        <f t="shared" si="0"/>
        <v>0</v>
      </c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spans="1:26" ht="12.75" customHeight="1" x14ac:dyDescent="0.2">
      <c r="A77" s="95"/>
      <c r="B77" s="122"/>
      <c r="C77" s="20" t="s">
        <v>13</v>
      </c>
      <c r="D77" s="143">
        <v>0.9</v>
      </c>
      <c r="E77" s="143">
        <v>0.9</v>
      </c>
      <c r="F77" s="143">
        <v>0.9</v>
      </c>
      <c r="G77" s="143">
        <v>0.9</v>
      </c>
      <c r="H77" s="144">
        <v>0.9</v>
      </c>
      <c r="I77" s="144">
        <v>0.9</v>
      </c>
      <c r="J77" s="144">
        <v>0.9</v>
      </c>
      <c r="K77" s="144">
        <v>0.8</v>
      </c>
      <c r="L77" s="123">
        <v>0.8</v>
      </c>
      <c r="M77" s="123">
        <v>0.75</v>
      </c>
      <c r="N77" s="123">
        <v>0.7</v>
      </c>
      <c r="O77" s="120">
        <v>0.7</v>
      </c>
      <c r="P77" s="197">
        <f t="shared" si="0"/>
        <v>0.83749999999999991</v>
      </c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spans="1:26" ht="12.75" customHeight="1" x14ac:dyDescent="0.2">
      <c r="A78" s="95"/>
      <c r="B78" s="122"/>
      <c r="C78" s="20" t="s">
        <v>14</v>
      </c>
      <c r="D78" s="143">
        <v>0</v>
      </c>
      <c r="E78" s="143">
        <v>0</v>
      </c>
      <c r="F78" s="143">
        <v>0</v>
      </c>
      <c r="G78" s="143">
        <v>0</v>
      </c>
      <c r="H78" s="144">
        <v>0</v>
      </c>
      <c r="I78" s="144">
        <v>0</v>
      </c>
      <c r="J78" s="144">
        <v>0</v>
      </c>
      <c r="K78" s="144">
        <v>0</v>
      </c>
      <c r="L78" s="123">
        <v>0</v>
      </c>
      <c r="M78" s="123">
        <v>0</v>
      </c>
      <c r="N78" s="123">
        <v>0</v>
      </c>
      <c r="O78" s="120">
        <v>0</v>
      </c>
      <c r="P78" s="197">
        <f t="shared" si="0"/>
        <v>0</v>
      </c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spans="1:26" ht="12.75" customHeight="1" x14ac:dyDescent="0.2">
      <c r="A79" s="95"/>
      <c r="B79" s="122"/>
      <c r="C79" s="20" t="s">
        <v>15</v>
      </c>
      <c r="D79" s="143">
        <v>0.05</v>
      </c>
      <c r="E79" s="143">
        <v>0.05</v>
      </c>
      <c r="F79" s="143">
        <v>0.05</v>
      </c>
      <c r="G79" s="143">
        <v>0.05</v>
      </c>
      <c r="H79" s="144">
        <v>0.05</v>
      </c>
      <c r="I79" s="144">
        <v>0.05</v>
      </c>
      <c r="J79" s="144">
        <v>0.05</v>
      </c>
      <c r="K79" s="144">
        <v>0.05</v>
      </c>
      <c r="L79" s="123">
        <v>0.05</v>
      </c>
      <c r="M79" s="123">
        <v>0.05</v>
      </c>
      <c r="N79" s="123">
        <v>0.05</v>
      </c>
      <c r="O79" s="120">
        <v>0.05</v>
      </c>
      <c r="P79" s="197">
        <f t="shared" si="0"/>
        <v>4.9999999999999996E-2</v>
      </c>
      <c r="Q79" s="95" t="s">
        <v>355</v>
      </c>
      <c r="R79" s="95"/>
      <c r="S79" s="95"/>
      <c r="T79" s="95"/>
      <c r="U79" s="95"/>
      <c r="V79" s="95"/>
      <c r="W79" s="95"/>
      <c r="X79" s="95"/>
      <c r="Y79" s="95"/>
      <c r="Z79" s="95"/>
    </row>
    <row r="80" spans="1:26" ht="12.75" customHeight="1" x14ac:dyDescent="0.2">
      <c r="A80" s="95"/>
      <c r="B80" s="122"/>
      <c r="C80" s="20" t="s">
        <v>16</v>
      </c>
      <c r="D80" s="143">
        <v>0</v>
      </c>
      <c r="E80" s="143">
        <v>0</v>
      </c>
      <c r="F80" s="143">
        <v>0</v>
      </c>
      <c r="G80" s="143">
        <v>0</v>
      </c>
      <c r="H80" s="144">
        <v>0</v>
      </c>
      <c r="I80" s="144">
        <v>0</v>
      </c>
      <c r="J80" s="144">
        <v>0</v>
      </c>
      <c r="K80" s="144">
        <v>0</v>
      </c>
      <c r="L80" s="123">
        <v>0</v>
      </c>
      <c r="M80" s="123">
        <v>0</v>
      </c>
      <c r="N80" s="123">
        <v>0</v>
      </c>
      <c r="O80" s="120">
        <v>0</v>
      </c>
      <c r="P80" s="197">
        <f t="shared" si="0"/>
        <v>0</v>
      </c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spans="1:26" ht="12.75" customHeight="1" x14ac:dyDescent="0.2">
      <c r="A81" s="95"/>
      <c r="B81" s="141" t="str">
        <f>B74</f>
        <v>Terrence Ngok</v>
      </c>
      <c r="C81" s="131" t="s">
        <v>241</v>
      </c>
      <c r="D81" s="132">
        <f t="shared" ref="D81:O81" si="9">SUM(D74:D80)</f>
        <v>0.95000000000000007</v>
      </c>
      <c r="E81" s="132">
        <f t="shared" si="9"/>
        <v>0.95000000000000007</v>
      </c>
      <c r="F81" s="132">
        <f t="shared" si="9"/>
        <v>0.95000000000000007</v>
      </c>
      <c r="G81" s="132">
        <f t="shared" si="9"/>
        <v>0.95000000000000007</v>
      </c>
      <c r="H81" s="132">
        <f t="shared" si="9"/>
        <v>0.95000000000000007</v>
      </c>
      <c r="I81" s="132">
        <f t="shared" si="9"/>
        <v>0.95000000000000007</v>
      </c>
      <c r="J81" s="132">
        <f t="shared" si="9"/>
        <v>0.95000000000000007</v>
      </c>
      <c r="K81" s="132">
        <f t="shared" si="9"/>
        <v>0.85000000000000009</v>
      </c>
      <c r="L81" s="132">
        <f t="shared" si="9"/>
        <v>0.85000000000000009</v>
      </c>
      <c r="M81" s="132">
        <f t="shared" si="9"/>
        <v>0.8</v>
      </c>
      <c r="N81" s="132">
        <f t="shared" si="9"/>
        <v>0.75</v>
      </c>
      <c r="O81" s="198">
        <f t="shared" si="9"/>
        <v>0.75</v>
      </c>
      <c r="P81" s="211">
        <f t="shared" si="0"/>
        <v>0.88750000000000007</v>
      </c>
      <c r="Q81" s="212"/>
      <c r="R81" s="95"/>
      <c r="S81" s="95"/>
      <c r="T81" s="95"/>
      <c r="U81" s="95"/>
      <c r="V81" s="95"/>
      <c r="W81" s="95"/>
      <c r="X81" s="95"/>
      <c r="Y81" s="95"/>
      <c r="Z81" s="95"/>
    </row>
    <row r="82" spans="1:26" ht="12.75" customHeight="1" x14ac:dyDescent="0.2">
      <c r="A82" s="95"/>
      <c r="B82" s="111" t="s">
        <v>257</v>
      </c>
      <c r="C82" s="36" t="s">
        <v>9</v>
      </c>
      <c r="D82" s="149">
        <v>0</v>
      </c>
      <c r="E82" s="149">
        <v>0</v>
      </c>
      <c r="F82" s="149">
        <v>0</v>
      </c>
      <c r="G82" s="149">
        <v>0</v>
      </c>
      <c r="H82" s="150">
        <v>0</v>
      </c>
      <c r="I82" s="150">
        <v>0</v>
      </c>
      <c r="J82" s="150">
        <v>0</v>
      </c>
      <c r="K82" s="150">
        <v>0</v>
      </c>
      <c r="L82" s="112">
        <v>0</v>
      </c>
      <c r="M82" s="112">
        <v>0</v>
      </c>
      <c r="N82" s="112">
        <v>0</v>
      </c>
      <c r="O82" s="113">
        <v>0</v>
      </c>
      <c r="P82" s="196">
        <f t="shared" si="0"/>
        <v>0</v>
      </c>
      <c r="Q82" s="195"/>
      <c r="R82" s="95"/>
      <c r="S82" s="95"/>
      <c r="T82" s="95"/>
      <c r="U82" s="95"/>
      <c r="V82" s="95"/>
      <c r="W82" s="95"/>
      <c r="X82" s="95"/>
      <c r="Y82" s="95"/>
      <c r="Z82" s="95"/>
    </row>
    <row r="83" spans="1:26" ht="12.75" customHeight="1" x14ac:dyDescent="0.2">
      <c r="A83" s="95"/>
      <c r="B83" s="19" t="s">
        <v>250</v>
      </c>
      <c r="C83" s="20" t="s">
        <v>11</v>
      </c>
      <c r="D83" s="143">
        <v>0</v>
      </c>
      <c r="E83" s="143">
        <v>0</v>
      </c>
      <c r="F83" s="143">
        <v>0</v>
      </c>
      <c r="G83" s="143">
        <v>0</v>
      </c>
      <c r="H83" s="144">
        <v>0</v>
      </c>
      <c r="I83" s="144">
        <v>0</v>
      </c>
      <c r="J83" s="144">
        <v>0</v>
      </c>
      <c r="K83" s="144">
        <v>0</v>
      </c>
      <c r="L83" s="123">
        <v>0</v>
      </c>
      <c r="M83" s="123">
        <v>0</v>
      </c>
      <c r="N83" s="123">
        <v>0</v>
      </c>
      <c r="O83" s="120">
        <v>0</v>
      </c>
      <c r="P83" s="197">
        <f t="shared" si="0"/>
        <v>0</v>
      </c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spans="1:26" ht="12.75" customHeight="1" x14ac:dyDescent="0.2">
      <c r="A84" s="95"/>
      <c r="B84" s="122"/>
      <c r="C84" s="20" t="s">
        <v>12</v>
      </c>
      <c r="D84" s="143">
        <v>0</v>
      </c>
      <c r="E84" s="143">
        <v>0</v>
      </c>
      <c r="F84" s="143">
        <v>0</v>
      </c>
      <c r="G84" s="143">
        <v>0</v>
      </c>
      <c r="H84" s="144">
        <v>0</v>
      </c>
      <c r="I84" s="144">
        <v>0</v>
      </c>
      <c r="J84" s="144">
        <v>0</v>
      </c>
      <c r="K84" s="144">
        <v>0</v>
      </c>
      <c r="L84" s="123">
        <v>0</v>
      </c>
      <c r="M84" s="123">
        <v>0</v>
      </c>
      <c r="N84" s="123">
        <v>0</v>
      </c>
      <c r="O84" s="120">
        <v>0</v>
      </c>
      <c r="P84" s="197">
        <f t="shared" si="0"/>
        <v>0</v>
      </c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spans="1:26" ht="12.75" customHeight="1" x14ac:dyDescent="0.2">
      <c r="A85" s="95"/>
      <c r="B85" s="122"/>
      <c r="C85" s="20" t="s">
        <v>13</v>
      </c>
      <c r="D85" s="143">
        <v>0.85</v>
      </c>
      <c r="E85" s="143">
        <v>0.85</v>
      </c>
      <c r="F85" s="143">
        <v>0.85</v>
      </c>
      <c r="G85" s="143">
        <v>0.85</v>
      </c>
      <c r="H85" s="144">
        <v>0.85</v>
      </c>
      <c r="I85" s="144">
        <v>0.85</v>
      </c>
      <c r="J85" s="144">
        <v>0.6</v>
      </c>
      <c r="K85" s="144">
        <v>0.8</v>
      </c>
      <c r="L85" s="123">
        <v>0.8</v>
      </c>
      <c r="M85" s="123">
        <v>0.75</v>
      </c>
      <c r="N85" s="123">
        <v>0.7</v>
      </c>
      <c r="O85" s="120">
        <v>0.7</v>
      </c>
      <c r="P85" s="197">
        <f t="shared" si="0"/>
        <v>0.78749999999999976</v>
      </c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spans="1:26" ht="12.75" customHeight="1" x14ac:dyDescent="0.2">
      <c r="A86" s="95"/>
      <c r="B86" s="122"/>
      <c r="C86" s="20" t="s">
        <v>14</v>
      </c>
      <c r="D86" s="143">
        <v>0</v>
      </c>
      <c r="E86" s="143">
        <v>0</v>
      </c>
      <c r="F86" s="143">
        <v>0</v>
      </c>
      <c r="G86" s="143">
        <v>0</v>
      </c>
      <c r="H86" s="144">
        <v>0</v>
      </c>
      <c r="I86" s="144">
        <v>0</v>
      </c>
      <c r="J86" s="144">
        <v>0</v>
      </c>
      <c r="K86" s="144">
        <v>0</v>
      </c>
      <c r="L86" s="123">
        <v>0</v>
      </c>
      <c r="M86" s="123">
        <v>0</v>
      </c>
      <c r="N86" s="123">
        <v>0</v>
      </c>
      <c r="O86" s="120">
        <v>0</v>
      </c>
      <c r="P86" s="197">
        <f t="shared" si="0"/>
        <v>0</v>
      </c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spans="1:26" ht="12.75" customHeight="1" x14ac:dyDescent="0.2">
      <c r="A87" s="95"/>
      <c r="B87" s="122"/>
      <c r="C87" s="20" t="s">
        <v>15</v>
      </c>
      <c r="D87" s="143">
        <v>0.05</v>
      </c>
      <c r="E87" s="143">
        <v>0.05</v>
      </c>
      <c r="F87" s="143">
        <v>0.05</v>
      </c>
      <c r="G87" s="143">
        <v>0.05</v>
      </c>
      <c r="H87" s="144">
        <v>0.05</v>
      </c>
      <c r="I87" s="144">
        <v>0.05</v>
      </c>
      <c r="J87" s="144">
        <v>0.05</v>
      </c>
      <c r="K87" s="144">
        <v>0.05</v>
      </c>
      <c r="L87" s="123">
        <v>0.05</v>
      </c>
      <c r="M87" s="123">
        <v>0.05</v>
      </c>
      <c r="N87" s="123">
        <v>0.05</v>
      </c>
      <c r="O87" s="120">
        <v>0.05</v>
      </c>
      <c r="P87" s="197">
        <f t="shared" si="0"/>
        <v>4.9999999999999996E-2</v>
      </c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spans="1:26" ht="12.75" customHeight="1" x14ac:dyDescent="0.2">
      <c r="A88" s="95"/>
      <c r="B88" s="122"/>
      <c r="C88" s="20" t="s">
        <v>16</v>
      </c>
      <c r="D88" s="143">
        <v>0</v>
      </c>
      <c r="E88" s="143">
        <v>0</v>
      </c>
      <c r="F88" s="143">
        <v>0</v>
      </c>
      <c r="G88" s="143">
        <v>0</v>
      </c>
      <c r="H88" s="144">
        <v>0</v>
      </c>
      <c r="I88" s="144">
        <v>0</v>
      </c>
      <c r="J88" s="144">
        <v>0</v>
      </c>
      <c r="K88" s="144">
        <v>0</v>
      </c>
      <c r="L88" s="123">
        <v>0</v>
      </c>
      <c r="M88" s="123">
        <v>0</v>
      </c>
      <c r="N88" s="123">
        <v>0</v>
      </c>
      <c r="O88" s="120">
        <v>0</v>
      </c>
      <c r="P88" s="197">
        <f t="shared" si="0"/>
        <v>0</v>
      </c>
      <c r="Q88" s="95" t="s">
        <v>350</v>
      </c>
      <c r="R88" s="95"/>
      <c r="S88" s="95"/>
      <c r="T88" s="95"/>
      <c r="U88" s="95"/>
      <c r="V88" s="95"/>
      <c r="W88" s="95"/>
      <c r="X88" s="95"/>
      <c r="Y88" s="95"/>
      <c r="Z88" s="95"/>
    </row>
    <row r="89" spans="1:26" ht="12.75" customHeight="1" x14ac:dyDescent="0.2">
      <c r="A89" s="95"/>
      <c r="B89" s="141" t="str">
        <f>B82</f>
        <v>Chaw</v>
      </c>
      <c r="C89" s="131" t="s">
        <v>241</v>
      </c>
      <c r="D89" s="132">
        <f t="shared" ref="D89:O89" si="10">SUM(D82:D88)</f>
        <v>0.9</v>
      </c>
      <c r="E89" s="132">
        <f t="shared" si="10"/>
        <v>0.9</v>
      </c>
      <c r="F89" s="132">
        <f t="shared" si="10"/>
        <v>0.9</v>
      </c>
      <c r="G89" s="132">
        <f t="shared" si="10"/>
        <v>0.9</v>
      </c>
      <c r="H89" s="132">
        <f t="shared" si="10"/>
        <v>0.9</v>
      </c>
      <c r="I89" s="132">
        <f t="shared" si="10"/>
        <v>0.9</v>
      </c>
      <c r="J89" s="132">
        <f t="shared" si="10"/>
        <v>0.65</v>
      </c>
      <c r="K89" s="132">
        <f t="shared" si="10"/>
        <v>0.85000000000000009</v>
      </c>
      <c r="L89" s="132">
        <f t="shared" si="10"/>
        <v>0.85000000000000009</v>
      </c>
      <c r="M89" s="132">
        <f t="shared" si="10"/>
        <v>0.8</v>
      </c>
      <c r="N89" s="132">
        <f t="shared" si="10"/>
        <v>0.75</v>
      </c>
      <c r="O89" s="198">
        <f t="shared" si="10"/>
        <v>0.75</v>
      </c>
      <c r="P89" s="211">
        <f t="shared" si="0"/>
        <v>0.83750000000000002</v>
      </c>
      <c r="Q89" s="212"/>
      <c r="R89" s="95"/>
      <c r="S89" s="95"/>
      <c r="T89" s="95"/>
      <c r="U89" s="95"/>
      <c r="V89" s="95"/>
      <c r="W89" s="95"/>
      <c r="X89" s="95"/>
      <c r="Y89" s="95"/>
      <c r="Z89" s="95"/>
    </row>
    <row r="90" spans="1:26" ht="12.75" customHeight="1" x14ac:dyDescent="0.2">
      <c r="A90" s="95"/>
      <c r="B90" s="111" t="s">
        <v>259</v>
      </c>
      <c r="C90" s="36" t="s">
        <v>9</v>
      </c>
      <c r="D90" s="149">
        <v>0</v>
      </c>
      <c r="E90" s="149">
        <v>0</v>
      </c>
      <c r="F90" s="149">
        <v>0</v>
      </c>
      <c r="G90" s="149">
        <v>0</v>
      </c>
      <c r="H90" s="150">
        <v>0</v>
      </c>
      <c r="I90" s="150">
        <v>0</v>
      </c>
      <c r="J90" s="150">
        <v>0</v>
      </c>
      <c r="K90" s="150">
        <v>0</v>
      </c>
      <c r="L90" s="112">
        <v>0</v>
      </c>
      <c r="M90" s="112">
        <v>0</v>
      </c>
      <c r="N90" s="112">
        <v>0</v>
      </c>
      <c r="O90" s="113">
        <v>0</v>
      </c>
      <c r="P90" s="196">
        <f t="shared" si="0"/>
        <v>0</v>
      </c>
      <c r="Q90" s="195"/>
      <c r="R90" s="95"/>
      <c r="S90" s="95"/>
      <c r="T90" s="95"/>
      <c r="U90" s="95"/>
      <c r="V90" s="95"/>
      <c r="W90" s="95"/>
      <c r="X90" s="95"/>
      <c r="Y90" s="95"/>
      <c r="Z90" s="95"/>
    </row>
    <row r="91" spans="1:26" ht="12.75" customHeight="1" x14ac:dyDescent="0.2">
      <c r="A91" s="95"/>
      <c r="B91" s="19" t="s">
        <v>250</v>
      </c>
      <c r="C91" s="20" t="s">
        <v>11</v>
      </c>
      <c r="D91" s="143">
        <v>0</v>
      </c>
      <c r="E91" s="143">
        <v>0</v>
      </c>
      <c r="F91" s="143">
        <v>0</v>
      </c>
      <c r="G91" s="143">
        <v>0</v>
      </c>
      <c r="H91" s="144">
        <v>0</v>
      </c>
      <c r="I91" s="144">
        <v>0</v>
      </c>
      <c r="J91" s="144">
        <v>0</v>
      </c>
      <c r="K91" s="144">
        <v>0</v>
      </c>
      <c r="L91" s="123">
        <v>0</v>
      </c>
      <c r="M91" s="123">
        <v>0</v>
      </c>
      <c r="N91" s="123">
        <v>0</v>
      </c>
      <c r="O91" s="120">
        <v>0</v>
      </c>
      <c r="P91" s="197">
        <f t="shared" si="0"/>
        <v>0</v>
      </c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spans="1:26" ht="12.75" customHeight="1" x14ac:dyDescent="0.2">
      <c r="A92" s="95"/>
      <c r="B92" s="122"/>
      <c r="C92" s="20" t="s">
        <v>12</v>
      </c>
      <c r="D92" s="143">
        <v>0</v>
      </c>
      <c r="E92" s="143">
        <v>0</v>
      </c>
      <c r="F92" s="143">
        <v>0</v>
      </c>
      <c r="G92" s="143">
        <v>0</v>
      </c>
      <c r="H92" s="144">
        <v>0</v>
      </c>
      <c r="I92" s="144">
        <v>0</v>
      </c>
      <c r="J92" s="144">
        <v>0</v>
      </c>
      <c r="K92" s="144">
        <v>0</v>
      </c>
      <c r="L92" s="123">
        <v>0</v>
      </c>
      <c r="M92" s="123">
        <v>0</v>
      </c>
      <c r="N92" s="123">
        <v>0</v>
      </c>
      <c r="O92" s="120">
        <v>0</v>
      </c>
      <c r="P92" s="197">
        <f t="shared" si="0"/>
        <v>0</v>
      </c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spans="1:26" ht="12.75" customHeight="1" x14ac:dyDescent="0.2">
      <c r="A93" s="95"/>
      <c r="B93" s="122"/>
      <c r="C93" s="20" t="s">
        <v>13</v>
      </c>
      <c r="D93" s="143">
        <v>0.85</v>
      </c>
      <c r="E93" s="143">
        <v>0.85</v>
      </c>
      <c r="F93" s="143">
        <v>0.85</v>
      </c>
      <c r="G93" s="143">
        <v>0.85</v>
      </c>
      <c r="H93" s="144">
        <v>0.85</v>
      </c>
      <c r="I93" s="144">
        <v>0.85</v>
      </c>
      <c r="J93" s="144">
        <v>0.6</v>
      </c>
      <c r="K93" s="144">
        <v>0.8</v>
      </c>
      <c r="L93" s="123">
        <v>0.8</v>
      </c>
      <c r="M93" s="123">
        <v>0.75</v>
      </c>
      <c r="N93" s="123">
        <v>0.7</v>
      </c>
      <c r="O93" s="120">
        <v>0.7</v>
      </c>
      <c r="P93" s="197">
        <f t="shared" si="0"/>
        <v>0.78749999999999976</v>
      </c>
      <c r="Q93" s="95" t="s">
        <v>356</v>
      </c>
      <c r="R93" s="95"/>
      <c r="S93" s="95"/>
      <c r="T93" s="95"/>
      <c r="U93" s="95"/>
      <c r="V93" s="95"/>
      <c r="W93" s="95"/>
      <c r="X93" s="95"/>
      <c r="Y93" s="95"/>
      <c r="Z93" s="95"/>
    </row>
    <row r="94" spans="1:26" ht="12.75" customHeight="1" x14ac:dyDescent="0.2">
      <c r="A94" s="95"/>
      <c r="B94" s="122"/>
      <c r="C94" s="20" t="s">
        <v>14</v>
      </c>
      <c r="D94" s="143">
        <v>0</v>
      </c>
      <c r="E94" s="143">
        <v>0</v>
      </c>
      <c r="F94" s="143">
        <v>0</v>
      </c>
      <c r="G94" s="143">
        <v>0</v>
      </c>
      <c r="H94" s="144">
        <v>0</v>
      </c>
      <c r="I94" s="144">
        <v>0</v>
      </c>
      <c r="J94" s="144">
        <v>0</v>
      </c>
      <c r="K94" s="144">
        <v>0</v>
      </c>
      <c r="L94" s="123">
        <v>0</v>
      </c>
      <c r="M94" s="123">
        <v>0</v>
      </c>
      <c r="N94" s="123">
        <v>0</v>
      </c>
      <c r="O94" s="120">
        <v>0</v>
      </c>
      <c r="P94" s="197">
        <f t="shared" si="0"/>
        <v>0</v>
      </c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spans="1:26" ht="12.75" customHeight="1" x14ac:dyDescent="0.2">
      <c r="A95" s="95"/>
      <c r="B95" s="122"/>
      <c r="C95" s="20" t="s">
        <v>15</v>
      </c>
      <c r="D95" s="143">
        <v>0.05</v>
      </c>
      <c r="E95" s="143">
        <v>0.05</v>
      </c>
      <c r="F95" s="143">
        <v>0.05</v>
      </c>
      <c r="G95" s="143">
        <v>0.05</v>
      </c>
      <c r="H95" s="144">
        <v>0.05</v>
      </c>
      <c r="I95" s="144">
        <v>0.05</v>
      </c>
      <c r="J95" s="144">
        <v>0.05</v>
      </c>
      <c r="K95" s="144">
        <v>0.05</v>
      </c>
      <c r="L95" s="123">
        <v>0.05</v>
      </c>
      <c r="M95" s="123">
        <v>0.05</v>
      </c>
      <c r="N95" s="123">
        <v>0.05</v>
      </c>
      <c r="O95" s="120">
        <v>0.05</v>
      </c>
      <c r="P95" s="197">
        <f t="shared" si="0"/>
        <v>4.9999999999999996E-2</v>
      </c>
      <c r="Q95" s="95" t="s">
        <v>357</v>
      </c>
      <c r="R95" s="95"/>
      <c r="S95" s="95"/>
      <c r="T95" s="95"/>
      <c r="U95" s="95"/>
      <c r="V95" s="95"/>
      <c r="W95" s="95"/>
      <c r="X95" s="95"/>
      <c r="Y95" s="95"/>
      <c r="Z95" s="95"/>
    </row>
    <row r="96" spans="1:26" ht="12.75" customHeight="1" x14ac:dyDescent="0.2">
      <c r="A96" s="95"/>
      <c r="B96" s="122"/>
      <c r="C96" s="20" t="s">
        <v>16</v>
      </c>
      <c r="D96" s="143">
        <v>0</v>
      </c>
      <c r="E96" s="143">
        <v>0</v>
      </c>
      <c r="F96" s="143">
        <v>0</v>
      </c>
      <c r="G96" s="143">
        <v>0</v>
      </c>
      <c r="H96" s="144">
        <v>0</v>
      </c>
      <c r="I96" s="144">
        <v>0</v>
      </c>
      <c r="J96" s="144">
        <v>0</v>
      </c>
      <c r="K96" s="144">
        <v>0</v>
      </c>
      <c r="L96" s="123">
        <v>0</v>
      </c>
      <c r="M96" s="123">
        <v>0</v>
      </c>
      <c r="N96" s="123">
        <v>0</v>
      </c>
      <c r="O96" s="120">
        <v>0</v>
      </c>
      <c r="P96" s="197">
        <f t="shared" si="0"/>
        <v>0</v>
      </c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spans="1:26" ht="12.75" customHeight="1" x14ac:dyDescent="0.2">
      <c r="A97" s="95"/>
      <c r="B97" s="141" t="str">
        <f>B90</f>
        <v>Kven</v>
      </c>
      <c r="C97" s="131" t="s">
        <v>241</v>
      </c>
      <c r="D97" s="132">
        <f t="shared" ref="D97:O97" si="11">SUM(D90:D96)</f>
        <v>0.9</v>
      </c>
      <c r="E97" s="132">
        <f t="shared" si="11"/>
        <v>0.9</v>
      </c>
      <c r="F97" s="132">
        <f t="shared" si="11"/>
        <v>0.9</v>
      </c>
      <c r="G97" s="132">
        <f t="shared" si="11"/>
        <v>0.9</v>
      </c>
      <c r="H97" s="132">
        <f t="shared" si="11"/>
        <v>0.9</v>
      </c>
      <c r="I97" s="132">
        <f t="shared" si="11"/>
        <v>0.9</v>
      </c>
      <c r="J97" s="132">
        <f t="shared" si="11"/>
        <v>0.65</v>
      </c>
      <c r="K97" s="132">
        <f t="shared" si="11"/>
        <v>0.85000000000000009</v>
      </c>
      <c r="L97" s="132">
        <f t="shared" si="11"/>
        <v>0.85000000000000009</v>
      </c>
      <c r="M97" s="132">
        <f t="shared" si="11"/>
        <v>0.8</v>
      </c>
      <c r="N97" s="132">
        <f t="shared" si="11"/>
        <v>0.75</v>
      </c>
      <c r="O97" s="198">
        <f t="shared" si="11"/>
        <v>0.75</v>
      </c>
      <c r="P97" s="211">
        <f t="shared" si="0"/>
        <v>0.83750000000000002</v>
      </c>
      <c r="Q97" s="212"/>
      <c r="R97" s="95"/>
      <c r="S97" s="95"/>
      <c r="T97" s="95"/>
      <c r="U97" s="95"/>
      <c r="V97" s="95"/>
      <c r="W97" s="95"/>
      <c r="X97" s="95"/>
      <c r="Y97" s="95"/>
      <c r="Z97" s="95"/>
    </row>
    <row r="98" spans="1:26" ht="12.75" customHeight="1" x14ac:dyDescent="0.2">
      <c r="A98" s="95"/>
      <c r="B98" s="111" t="s">
        <v>358</v>
      </c>
      <c r="C98" s="36" t="s">
        <v>9</v>
      </c>
      <c r="D98" s="149">
        <v>0</v>
      </c>
      <c r="E98" s="149">
        <v>0</v>
      </c>
      <c r="F98" s="149">
        <v>0</v>
      </c>
      <c r="G98" s="149">
        <v>0</v>
      </c>
      <c r="H98" s="167"/>
      <c r="I98" s="167"/>
      <c r="J98" s="167"/>
      <c r="K98" s="167"/>
      <c r="L98" s="151"/>
      <c r="M98" s="151"/>
      <c r="N98" s="151"/>
      <c r="O98" s="165"/>
      <c r="P98" s="196">
        <f t="shared" si="0"/>
        <v>0</v>
      </c>
      <c r="Q98" s="195"/>
      <c r="R98" s="95"/>
      <c r="S98" s="95"/>
      <c r="T98" s="95"/>
      <c r="U98" s="95"/>
      <c r="V98" s="95"/>
      <c r="W98" s="95"/>
      <c r="X98" s="95"/>
      <c r="Y98" s="95"/>
      <c r="Z98" s="95"/>
    </row>
    <row r="99" spans="1:26" ht="12.75" customHeight="1" x14ac:dyDescent="0.2">
      <c r="A99" s="95"/>
      <c r="B99" s="19" t="s">
        <v>34</v>
      </c>
      <c r="C99" s="20" t="s">
        <v>11</v>
      </c>
      <c r="D99" s="143">
        <v>0.3</v>
      </c>
      <c r="E99" s="143">
        <v>0.3</v>
      </c>
      <c r="F99" s="143">
        <v>0.3</v>
      </c>
      <c r="G99" s="143">
        <v>0.3</v>
      </c>
      <c r="H99" s="169"/>
      <c r="I99" s="169"/>
      <c r="J99" s="169"/>
      <c r="K99" s="169"/>
      <c r="L99" s="153"/>
      <c r="M99" s="153"/>
      <c r="N99" s="153"/>
      <c r="O99" s="168"/>
      <c r="P99" s="197">
        <f t="shared" si="0"/>
        <v>0.3</v>
      </c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spans="1:26" ht="12.75" customHeight="1" x14ac:dyDescent="0.2">
      <c r="A100" s="95"/>
      <c r="B100" s="122"/>
      <c r="C100" s="20" t="s">
        <v>12</v>
      </c>
      <c r="D100" s="143">
        <v>0.3</v>
      </c>
      <c r="E100" s="143">
        <v>0.3</v>
      </c>
      <c r="F100" s="143">
        <v>0.3</v>
      </c>
      <c r="G100" s="143">
        <v>0.3</v>
      </c>
      <c r="H100" s="169"/>
      <c r="I100" s="169"/>
      <c r="J100" s="169"/>
      <c r="K100" s="169"/>
      <c r="L100" s="153"/>
      <c r="M100" s="153"/>
      <c r="N100" s="153"/>
      <c r="O100" s="168"/>
      <c r="P100" s="197">
        <f t="shared" si="0"/>
        <v>0.3</v>
      </c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spans="1:26" ht="12.75" customHeight="1" x14ac:dyDescent="0.2">
      <c r="A101" s="95"/>
      <c r="B101" s="122"/>
      <c r="C101" s="20" t="s">
        <v>13</v>
      </c>
      <c r="D101" s="143">
        <v>0.3</v>
      </c>
      <c r="E101" s="143">
        <v>0.3</v>
      </c>
      <c r="F101" s="143">
        <v>0.3</v>
      </c>
      <c r="G101" s="143">
        <v>0.3</v>
      </c>
      <c r="H101" s="169"/>
      <c r="I101" s="169"/>
      <c r="J101" s="169"/>
      <c r="K101" s="169"/>
      <c r="L101" s="153"/>
      <c r="M101" s="153"/>
      <c r="N101" s="153"/>
      <c r="O101" s="168"/>
      <c r="P101" s="197">
        <f t="shared" si="0"/>
        <v>0.3</v>
      </c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spans="1:26" ht="12.75" customHeight="1" x14ac:dyDescent="0.2">
      <c r="A102" s="95"/>
      <c r="B102" s="122"/>
      <c r="C102" s="20" t="s">
        <v>14</v>
      </c>
      <c r="D102" s="143">
        <v>0</v>
      </c>
      <c r="E102" s="143">
        <v>0</v>
      </c>
      <c r="F102" s="143">
        <v>0</v>
      </c>
      <c r="G102" s="143">
        <v>0</v>
      </c>
      <c r="H102" s="169"/>
      <c r="I102" s="169"/>
      <c r="J102" s="169"/>
      <c r="K102" s="169"/>
      <c r="L102" s="153"/>
      <c r="M102" s="153"/>
      <c r="N102" s="153"/>
      <c r="O102" s="168"/>
      <c r="P102" s="197">
        <f t="shared" si="0"/>
        <v>0</v>
      </c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spans="1:26" ht="12.75" customHeight="1" x14ac:dyDescent="0.2">
      <c r="A103" s="95"/>
      <c r="B103" s="122"/>
      <c r="C103" s="20" t="s">
        <v>15</v>
      </c>
      <c r="D103" s="143">
        <v>0</v>
      </c>
      <c r="E103" s="143">
        <v>0</v>
      </c>
      <c r="F103" s="143">
        <v>0</v>
      </c>
      <c r="G103" s="143">
        <v>0</v>
      </c>
      <c r="H103" s="169"/>
      <c r="I103" s="169"/>
      <c r="J103" s="169"/>
      <c r="K103" s="169"/>
      <c r="L103" s="153"/>
      <c r="M103" s="153"/>
      <c r="N103" s="153"/>
      <c r="O103" s="168"/>
      <c r="P103" s="197">
        <f t="shared" si="0"/>
        <v>0</v>
      </c>
      <c r="Q103" s="95" t="s">
        <v>359</v>
      </c>
      <c r="R103" s="95"/>
      <c r="S103" s="95"/>
      <c r="T103" s="95"/>
      <c r="U103" s="95"/>
      <c r="V103" s="95"/>
      <c r="W103" s="95"/>
      <c r="X103" s="95"/>
      <c r="Y103" s="95"/>
      <c r="Z103" s="95"/>
    </row>
    <row r="104" spans="1:26" ht="12.75" customHeight="1" x14ac:dyDescent="0.2">
      <c r="A104" s="95"/>
      <c r="B104" s="122"/>
      <c r="C104" s="20" t="s">
        <v>16</v>
      </c>
      <c r="D104" s="143">
        <v>0</v>
      </c>
      <c r="E104" s="143">
        <v>0</v>
      </c>
      <c r="F104" s="143">
        <v>0</v>
      </c>
      <c r="G104" s="143">
        <v>0</v>
      </c>
      <c r="H104" s="169"/>
      <c r="I104" s="169"/>
      <c r="J104" s="169"/>
      <c r="K104" s="169"/>
      <c r="L104" s="153"/>
      <c r="M104" s="153"/>
      <c r="N104" s="153"/>
      <c r="O104" s="168"/>
      <c r="P104" s="197">
        <f t="shared" si="0"/>
        <v>0</v>
      </c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spans="1:26" ht="12.75" customHeight="1" x14ac:dyDescent="0.2">
      <c r="A105" s="95"/>
      <c r="B105" s="141" t="str">
        <f>B98</f>
        <v>Alvin Tolentino</v>
      </c>
      <c r="C105" s="131" t="s">
        <v>241</v>
      </c>
      <c r="D105" s="132">
        <f t="shared" ref="D105:G105" si="12">SUM(D98:D104)</f>
        <v>0.89999999999999991</v>
      </c>
      <c r="E105" s="132">
        <f t="shared" si="12"/>
        <v>0.89999999999999991</v>
      </c>
      <c r="F105" s="132">
        <f t="shared" si="12"/>
        <v>0.89999999999999991</v>
      </c>
      <c r="G105" s="132">
        <f t="shared" si="12"/>
        <v>0.89999999999999991</v>
      </c>
      <c r="H105" s="132"/>
      <c r="I105" s="132"/>
      <c r="J105" s="132"/>
      <c r="K105" s="132"/>
      <c r="L105" s="132"/>
      <c r="M105" s="132"/>
      <c r="N105" s="132"/>
      <c r="O105" s="198"/>
      <c r="P105" s="211">
        <f t="shared" si="0"/>
        <v>0.89999999999999991</v>
      </c>
      <c r="Q105" s="212"/>
      <c r="R105" s="95"/>
      <c r="S105" s="95"/>
      <c r="T105" s="95"/>
      <c r="U105" s="95"/>
      <c r="V105" s="95"/>
      <c r="W105" s="95"/>
      <c r="X105" s="95"/>
      <c r="Y105" s="95"/>
      <c r="Z105" s="95"/>
    </row>
    <row r="106" spans="1:26" ht="12.75" customHeight="1" x14ac:dyDescent="0.2">
      <c r="A106" s="95"/>
      <c r="B106" s="142" t="s">
        <v>360</v>
      </c>
      <c r="C106" s="13" t="s">
        <v>9</v>
      </c>
      <c r="D106" s="143">
        <v>0</v>
      </c>
      <c r="E106" s="143">
        <v>0</v>
      </c>
      <c r="F106" s="143">
        <v>0</v>
      </c>
      <c r="G106" s="143">
        <v>0</v>
      </c>
      <c r="H106" s="144">
        <v>0</v>
      </c>
      <c r="I106" s="144">
        <v>0</v>
      </c>
      <c r="J106" s="144">
        <v>0</v>
      </c>
      <c r="K106" s="144">
        <v>0</v>
      </c>
      <c r="L106" s="123">
        <v>0</v>
      </c>
      <c r="M106" s="123">
        <v>0</v>
      </c>
      <c r="N106" s="123">
        <v>0</v>
      </c>
      <c r="O106" s="120">
        <v>0</v>
      </c>
      <c r="P106" s="208">
        <f t="shared" si="0"/>
        <v>0</v>
      </c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spans="1:26" ht="12.75" customHeight="1" x14ac:dyDescent="0.2">
      <c r="A107" s="95"/>
      <c r="B107" s="19" t="s">
        <v>250</v>
      </c>
      <c r="C107" s="20" t="s">
        <v>11</v>
      </c>
      <c r="D107" s="143">
        <v>0</v>
      </c>
      <c r="E107" s="143">
        <v>0</v>
      </c>
      <c r="F107" s="143">
        <v>0</v>
      </c>
      <c r="G107" s="143">
        <v>0</v>
      </c>
      <c r="H107" s="144">
        <v>0</v>
      </c>
      <c r="I107" s="144">
        <v>0</v>
      </c>
      <c r="J107" s="144">
        <v>0</v>
      </c>
      <c r="K107" s="144">
        <v>0</v>
      </c>
      <c r="L107" s="123">
        <v>0</v>
      </c>
      <c r="M107" s="123">
        <v>0</v>
      </c>
      <c r="N107" s="123">
        <v>0</v>
      </c>
      <c r="O107" s="120">
        <v>0</v>
      </c>
      <c r="P107" s="197">
        <f t="shared" si="0"/>
        <v>0</v>
      </c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spans="1:26" ht="12.75" customHeight="1" x14ac:dyDescent="0.2">
      <c r="A108" s="95"/>
      <c r="B108" s="122"/>
      <c r="C108" s="20" t="s">
        <v>12</v>
      </c>
      <c r="D108" s="143">
        <v>0</v>
      </c>
      <c r="E108" s="143">
        <v>0</v>
      </c>
      <c r="F108" s="143">
        <v>0</v>
      </c>
      <c r="G108" s="143">
        <v>0</v>
      </c>
      <c r="H108" s="144">
        <v>0</v>
      </c>
      <c r="I108" s="144">
        <v>0</v>
      </c>
      <c r="J108" s="144">
        <v>0</v>
      </c>
      <c r="K108" s="144">
        <v>0</v>
      </c>
      <c r="L108" s="123">
        <v>0</v>
      </c>
      <c r="M108" s="123">
        <v>0</v>
      </c>
      <c r="N108" s="123">
        <v>0</v>
      </c>
      <c r="O108" s="120">
        <v>0</v>
      </c>
      <c r="P108" s="197">
        <f t="shared" si="0"/>
        <v>0</v>
      </c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spans="1:26" ht="12.75" customHeight="1" x14ac:dyDescent="0.2">
      <c r="A109" s="95"/>
      <c r="B109" s="122"/>
      <c r="C109" s="20" t="s">
        <v>13</v>
      </c>
      <c r="D109" s="143">
        <v>0.85</v>
      </c>
      <c r="E109" s="143">
        <v>0.85</v>
      </c>
      <c r="F109" s="143">
        <v>0.85</v>
      </c>
      <c r="G109" s="143">
        <v>0.85</v>
      </c>
      <c r="H109" s="144">
        <v>0.85</v>
      </c>
      <c r="I109" s="144">
        <v>0</v>
      </c>
      <c r="J109" s="144">
        <v>0</v>
      </c>
      <c r="K109" s="144">
        <v>0</v>
      </c>
      <c r="L109" s="123">
        <v>0.85</v>
      </c>
      <c r="M109" s="123">
        <v>0</v>
      </c>
      <c r="N109" s="123">
        <v>0</v>
      </c>
      <c r="O109" s="120">
        <v>0</v>
      </c>
      <c r="P109" s="197">
        <f t="shared" si="0"/>
        <v>0.42499999999999999</v>
      </c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spans="1:26" ht="12.75" customHeight="1" x14ac:dyDescent="0.2">
      <c r="A110" s="95"/>
      <c r="B110" s="122"/>
      <c r="C110" s="20" t="s">
        <v>14</v>
      </c>
      <c r="D110" s="143">
        <v>0</v>
      </c>
      <c r="E110" s="143">
        <v>0</v>
      </c>
      <c r="F110" s="143">
        <v>0</v>
      </c>
      <c r="G110" s="143">
        <v>0</v>
      </c>
      <c r="H110" s="144">
        <v>0</v>
      </c>
      <c r="I110" s="144">
        <v>0</v>
      </c>
      <c r="J110" s="144">
        <v>0</v>
      </c>
      <c r="K110" s="144">
        <v>0</v>
      </c>
      <c r="L110" s="123">
        <v>0</v>
      </c>
      <c r="M110" s="123">
        <v>0</v>
      </c>
      <c r="N110" s="123">
        <v>0</v>
      </c>
      <c r="O110" s="120">
        <v>0</v>
      </c>
      <c r="P110" s="197">
        <f t="shared" si="0"/>
        <v>0</v>
      </c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spans="1:26" ht="12.75" customHeight="1" x14ac:dyDescent="0.2">
      <c r="A111" s="95"/>
      <c r="B111" s="122"/>
      <c r="C111" s="20" t="s">
        <v>15</v>
      </c>
      <c r="D111" s="143">
        <v>0.05</v>
      </c>
      <c r="E111" s="143">
        <v>0.05</v>
      </c>
      <c r="F111" s="143">
        <v>0.05</v>
      </c>
      <c r="G111" s="143">
        <v>0.05</v>
      </c>
      <c r="H111" s="144">
        <v>0.05</v>
      </c>
      <c r="I111" s="144">
        <v>0</v>
      </c>
      <c r="J111" s="144">
        <v>0</v>
      </c>
      <c r="K111" s="144">
        <v>0</v>
      </c>
      <c r="L111" s="123">
        <v>0.05</v>
      </c>
      <c r="M111" s="123">
        <v>0</v>
      </c>
      <c r="N111" s="123">
        <v>0</v>
      </c>
      <c r="O111" s="120">
        <v>0</v>
      </c>
      <c r="P111" s="197">
        <f t="shared" si="0"/>
        <v>2.4999999999999998E-2</v>
      </c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spans="1:26" ht="12.75" customHeight="1" x14ac:dyDescent="0.2">
      <c r="A112" s="95"/>
      <c r="B112" s="122"/>
      <c r="C112" s="20" t="s">
        <v>16</v>
      </c>
      <c r="D112" s="143">
        <v>0</v>
      </c>
      <c r="E112" s="143">
        <v>0</v>
      </c>
      <c r="F112" s="143">
        <v>0</v>
      </c>
      <c r="G112" s="143">
        <v>0</v>
      </c>
      <c r="H112" s="144">
        <v>0</v>
      </c>
      <c r="I112" s="144">
        <v>0</v>
      </c>
      <c r="J112" s="144">
        <v>0</v>
      </c>
      <c r="K112" s="144">
        <v>0</v>
      </c>
      <c r="L112" s="123">
        <v>0</v>
      </c>
      <c r="M112" s="123">
        <v>0</v>
      </c>
      <c r="N112" s="123">
        <v>0</v>
      </c>
      <c r="O112" s="120">
        <v>0</v>
      </c>
      <c r="P112" s="197">
        <f t="shared" si="0"/>
        <v>0</v>
      </c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spans="1:26" ht="12.75" customHeight="1" x14ac:dyDescent="0.2">
      <c r="A113" s="95"/>
      <c r="B113" s="146" t="str">
        <f>B106</f>
        <v>Kel Vin</v>
      </c>
      <c r="C113" s="147" t="s">
        <v>241</v>
      </c>
      <c r="D113" s="148">
        <f t="shared" ref="D113:O113" si="13">SUM(D106:D112)</f>
        <v>0.9</v>
      </c>
      <c r="E113" s="148">
        <f t="shared" si="13"/>
        <v>0.9</v>
      </c>
      <c r="F113" s="148">
        <f t="shared" si="13"/>
        <v>0.9</v>
      </c>
      <c r="G113" s="148">
        <f t="shared" si="13"/>
        <v>0.9</v>
      </c>
      <c r="H113" s="148">
        <f t="shared" si="13"/>
        <v>0.9</v>
      </c>
      <c r="I113" s="148">
        <f t="shared" si="13"/>
        <v>0</v>
      </c>
      <c r="J113" s="148">
        <f t="shared" si="13"/>
        <v>0</v>
      </c>
      <c r="K113" s="148">
        <f t="shared" si="13"/>
        <v>0</v>
      </c>
      <c r="L113" s="148">
        <f t="shared" si="13"/>
        <v>0.9</v>
      </c>
      <c r="M113" s="148">
        <f t="shared" si="13"/>
        <v>0</v>
      </c>
      <c r="N113" s="148">
        <f t="shared" si="13"/>
        <v>0</v>
      </c>
      <c r="O113" s="209">
        <f t="shared" si="13"/>
        <v>0</v>
      </c>
      <c r="P113" s="210">
        <f t="shared" si="0"/>
        <v>0.45</v>
      </c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spans="1:26" ht="12.75" customHeight="1" x14ac:dyDescent="0.2">
      <c r="A114" s="95"/>
      <c r="B114" s="111" t="s">
        <v>274</v>
      </c>
      <c r="C114" s="36" t="s">
        <v>9</v>
      </c>
      <c r="D114" s="149">
        <v>0.1</v>
      </c>
      <c r="E114" s="149">
        <v>0.1</v>
      </c>
      <c r="F114" s="149">
        <v>0.1</v>
      </c>
      <c r="G114" s="149">
        <v>0.1</v>
      </c>
      <c r="H114" s="150">
        <v>0.1</v>
      </c>
      <c r="I114" s="150">
        <v>0.1</v>
      </c>
      <c r="J114" s="150">
        <v>0.1</v>
      </c>
      <c r="K114" s="150">
        <v>0.1</v>
      </c>
      <c r="L114" s="112">
        <v>0.1</v>
      </c>
      <c r="M114" s="112">
        <v>0.1</v>
      </c>
      <c r="N114" s="112">
        <v>0.1</v>
      </c>
      <c r="O114" s="113">
        <v>0.1</v>
      </c>
      <c r="P114" s="196">
        <f t="shared" si="0"/>
        <v>9.9999999999999992E-2</v>
      </c>
      <c r="Q114" s="195"/>
      <c r="R114" s="95"/>
      <c r="S114" s="95"/>
      <c r="T114" s="95"/>
      <c r="U114" s="95"/>
      <c r="V114" s="95"/>
      <c r="W114" s="95"/>
      <c r="X114" s="95"/>
      <c r="Y114" s="95"/>
      <c r="Z114" s="95"/>
    </row>
    <row r="115" spans="1:26" ht="12.75" customHeight="1" x14ac:dyDescent="0.2">
      <c r="A115" s="95"/>
      <c r="B115" s="19" t="s">
        <v>275</v>
      </c>
      <c r="C115" s="20" t="s">
        <v>11</v>
      </c>
      <c r="D115" s="143">
        <v>0.3</v>
      </c>
      <c r="E115" s="143">
        <v>0.3</v>
      </c>
      <c r="F115" s="143">
        <v>0.3</v>
      </c>
      <c r="G115" s="143">
        <v>0.3</v>
      </c>
      <c r="H115" s="144">
        <v>0.3</v>
      </c>
      <c r="I115" s="144">
        <v>0.3</v>
      </c>
      <c r="J115" s="144">
        <v>0.3</v>
      </c>
      <c r="K115" s="144">
        <v>0.3</v>
      </c>
      <c r="L115" s="123">
        <v>0.3</v>
      </c>
      <c r="M115" s="123">
        <v>0.3</v>
      </c>
      <c r="N115" s="123">
        <v>0.3</v>
      </c>
      <c r="O115" s="120">
        <v>0.3</v>
      </c>
      <c r="P115" s="197">
        <f t="shared" si="0"/>
        <v>0.29999999999999993</v>
      </c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spans="1:26" ht="12.75" customHeight="1" x14ac:dyDescent="0.2">
      <c r="A116" s="95"/>
      <c r="B116" s="122"/>
      <c r="C116" s="20" t="s">
        <v>12</v>
      </c>
      <c r="D116" s="143">
        <v>0</v>
      </c>
      <c r="E116" s="143">
        <v>0</v>
      </c>
      <c r="F116" s="143">
        <v>0</v>
      </c>
      <c r="G116" s="143">
        <v>0</v>
      </c>
      <c r="H116" s="144">
        <v>0</v>
      </c>
      <c r="I116" s="144">
        <v>0</v>
      </c>
      <c r="J116" s="144">
        <v>0</v>
      </c>
      <c r="K116" s="144">
        <v>0</v>
      </c>
      <c r="L116" s="123">
        <v>0</v>
      </c>
      <c r="M116" s="123">
        <v>0</v>
      </c>
      <c r="N116" s="123">
        <v>0</v>
      </c>
      <c r="O116" s="120">
        <v>0</v>
      </c>
      <c r="P116" s="197">
        <f t="shared" si="0"/>
        <v>0</v>
      </c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spans="1:26" ht="12.75" customHeight="1" x14ac:dyDescent="0.2">
      <c r="A117" s="95"/>
      <c r="B117" s="122"/>
      <c r="C117" s="20" t="s">
        <v>13</v>
      </c>
      <c r="D117" s="143">
        <v>0</v>
      </c>
      <c r="E117" s="143">
        <v>0</v>
      </c>
      <c r="F117" s="143">
        <v>0</v>
      </c>
      <c r="G117" s="143">
        <v>0</v>
      </c>
      <c r="H117" s="144">
        <v>0</v>
      </c>
      <c r="I117" s="144">
        <v>0</v>
      </c>
      <c r="J117" s="144">
        <v>0</v>
      </c>
      <c r="K117" s="144">
        <v>0</v>
      </c>
      <c r="L117" s="123">
        <v>0</v>
      </c>
      <c r="M117" s="123">
        <v>0</v>
      </c>
      <c r="N117" s="123">
        <v>0</v>
      </c>
      <c r="O117" s="120">
        <v>0</v>
      </c>
      <c r="P117" s="197">
        <f t="shared" si="0"/>
        <v>0</v>
      </c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spans="1:26" ht="12.75" customHeight="1" x14ac:dyDescent="0.2">
      <c r="A118" s="95"/>
      <c r="B118" s="122"/>
      <c r="C118" s="20" t="s">
        <v>14</v>
      </c>
      <c r="D118" s="143">
        <v>0.05</v>
      </c>
      <c r="E118" s="143">
        <v>0.05</v>
      </c>
      <c r="F118" s="143">
        <v>0.05</v>
      </c>
      <c r="G118" s="143">
        <v>0.05</v>
      </c>
      <c r="H118" s="144">
        <v>0.05</v>
      </c>
      <c r="I118" s="144">
        <v>0.05</v>
      </c>
      <c r="J118" s="144">
        <v>0.05</v>
      </c>
      <c r="K118" s="144">
        <v>0.05</v>
      </c>
      <c r="L118" s="123">
        <v>0.05</v>
      </c>
      <c r="M118" s="123">
        <v>0.05</v>
      </c>
      <c r="N118" s="123">
        <v>0.05</v>
      </c>
      <c r="O118" s="120">
        <v>0.05</v>
      </c>
      <c r="P118" s="197">
        <f t="shared" si="0"/>
        <v>4.9999999999999996E-2</v>
      </c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spans="1:26" ht="12.75" customHeight="1" x14ac:dyDescent="0.2">
      <c r="A119" s="95"/>
      <c r="B119" s="122"/>
      <c r="C119" s="20" t="s">
        <v>15</v>
      </c>
      <c r="D119" s="143">
        <v>0</v>
      </c>
      <c r="E119" s="143">
        <v>0</v>
      </c>
      <c r="F119" s="143">
        <v>0</v>
      </c>
      <c r="G119" s="143">
        <v>0</v>
      </c>
      <c r="H119" s="144">
        <v>0</v>
      </c>
      <c r="I119" s="144">
        <v>0</v>
      </c>
      <c r="J119" s="144">
        <v>0</v>
      </c>
      <c r="K119" s="144">
        <v>0</v>
      </c>
      <c r="L119" s="123">
        <v>0</v>
      </c>
      <c r="M119" s="123">
        <v>0</v>
      </c>
      <c r="N119" s="123">
        <v>0</v>
      </c>
      <c r="O119" s="120">
        <v>0</v>
      </c>
      <c r="P119" s="197">
        <f t="shared" si="0"/>
        <v>0</v>
      </c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spans="1:26" ht="12.75" customHeight="1" x14ac:dyDescent="0.2">
      <c r="A120" s="95"/>
      <c r="B120" s="122"/>
      <c r="C120" s="20" t="s">
        <v>16</v>
      </c>
      <c r="D120" s="143">
        <v>0.45</v>
      </c>
      <c r="E120" s="143">
        <v>0.45</v>
      </c>
      <c r="F120" s="143">
        <v>0.45</v>
      </c>
      <c r="G120" s="143">
        <v>0.45</v>
      </c>
      <c r="H120" s="144">
        <v>0.45</v>
      </c>
      <c r="I120" s="144">
        <v>0.45</v>
      </c>
      <c r="J120" s="144">
        <v>0.45</v>
      </c>
      <c r="K120" s="144">
        <v>0.45</v>
      </c>
      <c r="L120" s="123">
        <v>0.45</v>
      </c>
      <c r="M120" s="123">
        <v>0.45</v>
      </c>
      <c r="N120" s="123">
        <v>0.45</v>
      </c>
      <c r="O120" s="120">
        <v>0.45</v>
      </c>
      <c r="P120" s="197">
        <f t="shared" si="0"/>
        <v>0.45000000000000012</v>
      </c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spans="1:26" ht="12.75" customHeight="1" x14ac:dyDescent="0.2">
      <c r="A121" s="95"/>
      <c r="B121" s="141" t="s">
        <v>276</v>
      </c>
      <c r="C121" s="131" t="s">
        <v>241</v>
      </c>
      <c r="D121" s="132">
        <f t="shared" ref="D121:O121" si="14">SUM(D114:D120)</f>
        <v>0.9</v>
      </c>
      <c r="E121" s="132">
        <f t="shared" si="14"/>
        <v>0.9</v>
      </c>
      <c r="F121" s="132">
        <f t="shared" si="14"/>
        <v>0.9</v>
      </c>
      <c r="G121" s="132">
        <f t="shared" si="14"/>
        <v>0.9</v>
      </c>
      <c r="H121" s="132">
        <f t="shared" si="14"/>
        <v>0.9</v>
      </c>
      <c r="I121" s="132">
        <f t="shared" si="14"/>
        <v>0.9</v>
      </c>
      <c r="J121" s="132">
        <f t="shared" si="14"/>
        <v>0.9</v>
      </c>
      <c r="K121" s="132">
        <f t="shared" si="14"/>
        <v>0.9</v>
      </c>
      <c r="L121" s="132">
        <f t="shared" si="14"/>
        <v>0.9</v>
      </c>
      <c r="M121" s="132">
        <f t="shared" si="14"/>
        <v>0.9</v>
      </c>
      <c r="N121" s="132">
        <f t="shared" si="14"/>
        <v>0.9</v>
      </c>
      <c r="O121" s="198">
        <f t="shared" si="14"/>
        <v>0.9</v>
      </c>
      <c r="P121" s="211">
        <f t="shared" si="0"/>
        <v>0.90000000000000024</v>
      </c>
      <c r="Q121" s="212"/>
      <c r="R121" s="95"/>
      <c r="S121" s="95"/>
      <c r="T121" s="95"/>
      <c r="U121" s="95"/>
      <c r="V121" s="95"/>
      <c r="W121" s="95"/>
      <c r="X121" s="95"/>
      <c r="Y121" s="95"/>
      <c r="Z121" s="95"/>
    </row>
    <row r="122" spans="1:26" ht="12.75" customHeight="1" x14ac:dyDescent="0.2">
      <c r="A122" s="95"/>
      <c r="B122" s="142" t="s">
        <v>277</v>
      </c>
      <c r="C122" s="13" t="s">
        <v>9</v>
      </c>
      <c r="D122" s="157"/>
      <c r="E122" s="157"/>
      <c r="F122" s="157"/>
      <c r="G122" s="143">
        <v>0.15</v>
      </c>
      <c r="H122" s="144">
        <v>0.15</v>
      </c>
      <c r="I122" s="144">
        <v>0.15</v>
      </c>
      <c r="J122" s="144">
        <v>0.15</v>
      </c>
      <c r="K122" s="144">
        <v>0.15</v>
      </c>
      <c r="L122" s="123">
        <v>0.25</v>
      </c>
      <c r="M122" s="123">
        <v>0.35</v>
      </c>
      <c r="N122" s="123">
        <v>0.35</v>
      </c>
      <c r="O122" s="120">
        <v>0.35</v>
      </c>
      <c r="P122" s="208">
        <f t="shared" si="0"/>
        <v>0.2277777777777778</v>
      </c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spans="1:26" ht="12.75" customHeight="1" x14ac:dyDescent="0.2">
      <c r="A123" s="95"/>
      <c r="B123" s="19" t="s">
        <v>278</v>
      </c>
      <c r="C123" s="20" t="s">
        <v>11</v>
      </c>
      <c r="D123" s="157"/>
      <c r="E123" s="157"/>
      <c r="F123" s="157"/>
      <c r="G123" s="143">
        <v>0.1</v>
      </c>
      <c r="H123" s="144">
        <v>0.1</v>
      </c>
      <c r="I123" s="144">
        <v>0.1</v>
      </c>
      <c r="J123" s="144">
        <v>0.1</v>
      </c>
      <c r="K123" s="144">
        <v>0.1</v>
      </c>
      <c r="L123" s="123">
        <v>0.1</v>
      </c>
      <c r="M123" s="123">
        <v>0.1</v>
      </c>
      <c r="N123" s="123">
        <v>0.1</v>
      </c>
      <c r="O123" s="120">
        <v>0.1</v>
      </c>
      <c r="P123" s="197">
        <f t="shared" si="0"/>
        <v>9.9999999999999992E-2</v>
      </c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spans="1:26" ht="12.75" customHeight="1" x14ac:dyDescent="0.2">
      <c r="A124" s="95"/>
      <c r="B124" s="122"/>
      <c r="C124" s="20" t="s">
        <v>12</v>
      </c>
      <c r="D124" s="157"/>
      <c r="E124" s="157"/>
      <c r="F124" s="157"/>
      <c r="G124" s="143">
        <v>0</v>
      </c>
      <c r="H124" s="144">
        <v>0</v>
      </c>
      <c r="I124" s="144">
        <v>0</v>
      </c>
      <c r="J124" s="144">
        <v>0</v>
      </c>
      <c r="K124" s="144">
        <v>0</v>
      </c>
      <c r="L124" s="123">
        <v>0</v>
      </c>
      <c r="M124" s="123">
        <v>0</v>
      </c>
      <c r="N124" s="123">
        <v>0</v>
      </c>
      <c r="O124" s="120">
        <v>0</v>
      </c>
      <c r="P124" s="197">
        <f t="shared" si="0"/>
        <v>0</v>
      </c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spans="1:26" ht="12.75" customHeight="1" x14ac:dyDescent="0.2">
      <c r="A125" s="95"/>
      <c r="B125" s="122"/>
      <c r="C125" s="20" t="s">
        <v>13</v>
      </c>
      <c r="D125" s="157"/>
      <c r="E125" s="157"/>
      <c r="F125" s="157"/>
      <c r="G125" s="143">
        <v>0</v>
      </c>
      <c r="H125" s="144">
        <v>0</v>
      </c>
      <c r="I125" s="144">
        <v>0</v>
      </c>
      <c r="J125" s="144">
        <v>0</v>
      </c>
      <c r="K125" s="144">
        <v>0</v>
      </c>
      <c r="L125" s="123">
        <v>0</v>
      </c>
      <c r="M125" s="123">
        <v>0</v>
      </c>
      <c r="N125" s="123">
        <v>0</v>
      </c>
      <c r="O125" s="120">
        <v>0</v>
      </c>
      <c r="P125" s="197">
        <f t="shared" si="0"/>
        <v>0</v>
      </c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spans="1:26" ht="12.75" customHeight="1" x14ac:dyDescent="0.2">
      <c r="A126" s="95"/>
      <c r="B126" s="122"/>
      <c r="C126" s="20" t="s">
        <v>14</v>
      </c>
      <c r="D126" s="157"/>
      <c r="E126" s="157"/>
      <c r="F126" s="157"/>
      <c r="G126" s="143">
        <v>0.05</v>
      </c>
      <c r="H126" s="144">
        <v>0.05</v>
      </c>
      <c r="I126" s="144">
        <v>0.05</v>
      </c>
      <c r="J126" s="144">
        <v>0.05</v>
      </c>
      <c r="K126" s="144">
        <v>0.05</v>
      </c>
      <c r="L126" s="123">
        <v>0.05</v>
      </c>
      <c r="M126" s="123">
        <v>0.05</v>
      </c>
      <c r="N126" s="123">
        <v>0.05</v>
      </c>
      <c r="O126" s="120">
        <v>0.05</v>
      </c>
      <c r="P126" s="197">
        <f t="shared" si="0"/>
        <v>4.9999999999999996E-2</v>
      </c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spans="1:26" ht="12.75" customHeight="1" x14ac:dyDescent="0.2">
      <c r="A127" s="95"/>
      <c r="B127" s="122"/>
      <c r="C127" s="20" t="s">
        <v>15</v>
      </c>
      <c r="D127" s="157"/>
      <c r="E127" s="157"/>
      <c r="F127" s="157"/>
      <c r="G127" s="143">
        <v>0</v>
      </c>
      <c r="H127" s="144">
        <v>0</v>
      </c>
      <c r="I127" s="144">
        <v>0</v>
      </c>
      <c r="J127" s="144">
        <v>0</v>
      </c>
      <c r="K127" s="144">
        <v>0</v>
      </c>
      <c r="L127" s="123">
        <v>0</v>
      </c>
      <c r="M127" s="123">
        <v>0</v>
      </c>
      <c r="N127" s="123">
        <v>0</v>
      </c>
      <c r="O127" s="120">
        <v>0</v>
      </c>
      <c r="P127" s="197">
        <f t="shared" si="0"/>
        <v>0</v>
      </c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spans="1:26" ht="12.75" customHeight="1" x14ac:dyDescent="0.2">
      <c r="A128" s="95"/>
      <c r="B128" s="122"/>
      <c r="C128" s="20" t="s">
        <v>16</v>
      </c>
      <c r="D128" s="157"/>
      <c r="E128" s="157"/>
      <c r="F128" s="157"/>
      <c r="G128" s="143">
        <v>0.3</v>
      </c>
      <c r="H128" s="144">
        <v>0.3</v>
      </c>
      <c r="I128" s="144">
        <v>0.3</v>
      </c>
      <c r="J128" s="144">
        <v>0.3</v>
      </c>
      <c r="K128" s="144">
        <v>0.4</v>
      </c>
      <c r="L128" s="123">
        <v>0.4</v>
      </c>
      <c r="M128" s="123">
        <v>0.4</v>
      </c>
      <c r="N128" s="123">
        <v>0.4</v>
      </c>
      <c r="O128" s="120">
        <v>0.4</v>
      </c>
      <c r="P128" s="197">
        <f t="shared" si="0"/>
        <v>0.35555555555555551</v>
      </c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spans="1:26" ht="12.75" customHeight="1" x14ac:dyDescent="0.2">
      <c r="A129" s="95"/>
      <c r="B129" s="146" t="str">
        <f>B122</f>
        <v>Hayley Bolding</v>
      </c>
      <c r="C129" s="147" t="s">
        <v>241</v>
      </c>
      <c r="D129" s="148"/>
      <c r="E129" s="148"/>
      <c r="F129" s="148"/>
      <c r="G129" s="148">
        <f t="shared" ref="G129:O129" si="15">SUM(G122:G128)</f>
        <v>0.6</v>
      </c>
      <c r="H129" s="148">
        <f t="shared" si="15"/>
        <v>0.6</v>
      </c>
      <c r="I129" s="148">
        <f t="shared" si="15"/>
        <v>0.6</v>
      </c>
      <c r="J129" s="148">
        <f t="shared" si="15"/>
        <v>0.6</v>
      </c>
      <c r="K129" s="148">
        <f t="shared" si="15"/>
        <v>0.7</v>
      </c>
      <c r="L129" s="148">
        <f t="shared" si="15"/>
        <v>0.8</v>
      </c>
      <c r="M129" s="148">
        <f t="shared" si="15"/>
        <v>0.89999999999999991</v>
      </c>
      <c r="N129" s="148">
        <f t="shared" si="15"/>
        <v>0.89999999999999991</v>
      </c>
      <c r="O129" s="209">
        <f t="shared" si="15"/>
        <v>0.89999999999999991</v>
      </c>
      <c r="P129" s="210">
        <f t="shared" si="0"/>
        <v>0.73333333333333328</v>
      </c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spans="1:26" ht="12.75" customHeight="1" x14ac:dyDescent="0.2">
      <c r="A130" s="95"/>
      <c r="B130" s="111" t="s">
        <v>279</v>
      </c>
      <c r="C130" s="36" t="s">
        <v>9</v>
      </c>
      <c r="D130" s="149">
        <v>0</v>
      </c>
      <c r="E130" s="149">
        <v>0</v>
      </c>
      <c r="F130" s="149">
        <v>0</v>
      </c>
      <c r="G130" s="149">
        <v>0</v>
      </c>
      <c r="H130" s="150">
        <v>0</v>
      </c>
      <c r="I130" s="150">
        <v>0</v>
      </c>
      <c r="J130" s="150">
        <v>0</v>
      </c>
      <c r="K130" s="150">
        <v>0</v>
      </c>
      <c r="L130" s="112">
        <v>0</v>
      </c>
      <c r="M130" s="112">
        <v>0</v>
      </c>
      <c r="N130" s="112">
        <v>0</v>
      </c>
      <c r="O130" s="113">
        <v>0</v>
      </c>
      <c r="P130" s="196">
        <f t="shared" si="0"/>
        <v>0</v>
      </c>
      <c r="Q130" s="195"/>
      <c r="R130" s="95"/>
      <c r="S130" s="95"/>
      <c r="T130" s="95"/>
      <c r="U130" s="95"/>
      <c r="V130" s="95"/>
      <c r="W130" s="95"/>
      <c r="X130" s="95"/>
      <c r="Y130" s="95"/>
      <c r="Z130" s="95"/>
    </row>
    <row r="131" spans="1:26" ht="12.75" customHeight="1" x14ac:dyDescent="0.2">
      <c r="A131" s="95"/>
      <c r="B131" s="19" t="s">
        <v>280</v>
      </c>
      <c r="C131" s="20" t="s">
        <v>11</v>
      </c>
      <c r="D131" s="143">
        <v>0.05</v>
      </c>
      <c r="E131" s="143">
        <v>0.05</v>
      </c>
      <c r="F131" s="143">
        <v>0.05</v>
      </c>
      <c r="G131" s="143">
        <v>0.05</v>
      </c>
      <c r="H131" s="144">
        <v>0.05</v>
      </c>
      <c r="I131" s="144">
        <v>0.05</v>
      </c>
      <c r="J131" s="144">
        <v>0.05</v>
      </c>
      <c r="K131" s="144">
        <v>0.05</v>
      </c>
      <c r="L131" s="123">
        <v>0.05</v>
      </c>
      <c r="M131" s="123">
        <v>0.05</v>
      </c>
      <c r="N131" s="123">
        <v>0.05</v>
      </c>
      <c r="O131" s="120">
        <v>0.05</v>
      </c>
      <c r="P131" s="197">
        <f t="shared" si="0"/>
        <v>4.9999999999999996E-2</v>
      </c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spans="1:26" ht="12.75" customHeight="1" x14ac:dyDescent="0.2">
      <c r="A132" s="95"/>
      <c r="B132" s="122"/>
      <c r="C132" s="20" t="s">
        <v>12</v>
      </c>
      <c r="D132" s="143">
        <v>0</v>
      </c>
      <c r="E132" s="143">
        <v>0</v>
      </c>
      <c r="F132" s="143">
        <v>0</v>
      </c>
      <c r="G132" s="143">
        <v>0</v>
      </c>
      <c r="H132" s="144">
        <v>0</v>
      </c>
      <c r="I132" s="144">
        <v>0</v>
      </c>
      <c r="J132" s="144">
        <v>0</v>
      </c>
      <c r="K132" s="144">
        <v>0</v>
      </c>
      <c r="L132" s="123">
        <v>0</v>
      </c>
      <c r="M132" s="123">
        <v>0</v>
      </c>
      <c r="N132" s="123">
        <v>0</v>
      </c>
      <c r="O132" s="120">
        <v>0</v>
      </c>
      <c r="P132" s="197">
        <f t="shared" si="0"/>
        <v>0</v>
      </c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spans="1:26" ht="12.75" customHeight="1" x14ac:dyDescent="0.2">
      <c r="A133" s="95"/>
      <c r="B133" s="122"/>
      <c r="C133" s="20" t="s">
        <v>13</v>
      </c>
      <c r="D133" s="143">
        <v>0</v>
      </c>
      <c r="E133" s="143">
        <v>0</v>
      </c>
      <c r="F133" s="143">
        <v>0</v>
      </c>
      <c r="G133" s="143">
        <v>0</v>
      </c>
      <c r="H133" s="144">
        <v>0</v>
      </c>
      <c r="I133" s="144">
        <v>0</v>
      </c>
      <c r="J133" s="144">
        <v>0</v>
      </c>
      <c r="K133" s="144">
        <v>0</v>
      </c>
      <c r="L133" s="123">
        <v>0</v>
      </c>
      <c r="M133" s="123">
        <v>0</v>
      </c>
      <c r="N133" s="123">
        <v>0</v>
      </c>
      <c r="O133" s="120">
        <v>0</v>
      </c>
      <c r="P133" s="197">
        <f t="shared" si="0"/>
        <v>0</v>
      </c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spans="1:26" ht="12.75" customHeight="1" x14ac:dyDescent="0.2">
      <c r="A134" s="95"/>
      <c r="B134" s="122"/>
      <c r="C134" s="20" t="s">
        <v>14</v>
      </c>
      <c r="D134" s="143">
        <v>0.05</v>
      </c>
      <c r="E134" s="143">
        <v>0.05</v>
      </c>
      <c r="F134" s="143">
        <v>0.05</v>
      </c>
      <c r="G134" s="143">
        <v>0.05</v>
      </c>
      <c r="H134" s="144">
        <v>0.05</v>
      </c>
      <c r="I134" s="144">
        <v>0.05</v>
      </c>
      <c r="J134" s="144">
        <v>0.05</v>
      </c>
      <c r="K134" s="144">
        <v>0.05</v>
      </c>
      <c r="L134" s="123">
        <v>0.05</v>
      </c>
      <c r="M134" s="123">
        <v>0.05</v>
      </c>
      <c r="N134" s="123">
        <v>0.05</v>
      </c>
      <c r="O134" s="120">
        <v>0.05</v>
      </c>
      <c r="P134" s="197">
        <f t="shared" si="0"/>
        <v>4.9999999999999996E-2</v>
      </c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spans="1:26" ht="12.75" customHeight="1" x14ac:dyDescent="0.2">
      <c r="A135" s="95"/>
      <c r="B135" s="122"/>
      <c r="C135" s="20" t="s">
        <v>15</v>
      </c>
      <c r="D135" s="143">
        <v>0</v>
      </c>
      <c r="E135" s="143">
        <v>0</v>
      </c>
      <c r="F135" s="143">
        <v>0</v>
      </c>
      <c r="G135" s="143">
        <v>0</v>
      </c>
      <c r="H135" s="144">
        <v>0</v>
      </c>
      <c r="I135" s="144">
        <v>0</v>
      </c>
      <c r="J135" s="144">
        <v>0</v>
      </c>
      <c r="K135" s="144">
        <v>0</v>
      </c>
      <c r="L135" s="123">
        <v>0</v>
      </c>
      <c r="M135" s="123">
        <v>0</v>
      </c>
      <c r="N135" s="123">
        <v>0</v>
      </c>
      <c r="O135" s="120">
        <v>0</v>
      </c>
      <c r="P135" s="197">
        <f t="shared" si="0"/>
        <v>0</v>
      </c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spans="1:26" ht="12.75" customHeight="1" x14ac:dyDescent="0.2">
      <c r="A136" s="95"/>
      <c r="B136" s="122"/>
      <c r="C136" s="20" t="s">
        <v>16</v>
      </c>
      <c r="D136" s="143">
        <v>0.85</v>
      </c>
      <c r="E136" s="143">
        <v>0.85</v>
      </c>
      <c r="F136" s="143">
        <v>0.85</v>
      </c>
      <c r="G136" s="143">
        <v>0.85</v>
      </c>
      <c r="H136" s="144">
        <v>0.85</v>
      </c>
      <c r="I136" s="144">
        <v>0.85</v>
      </c>
      <c r="J136" s="144">
        <v>0.85</v>
      </c>
      <c r="K136" s="144">
        <v>0.85</v>
      </c>
      <c r="L136" s="123">
        <v>0.85</v>
      </c>
      <c r="M136" s="123">
        <v>0.85</v>
      </c>
      <c r="N136" s="123">
        <v>0.85</v>
      </c>
      <c r="O136" s="120">
        <v>0.85</v>
      </c>
      <c r="P136" s="197">
        <f t="shared" si="0"/>
        <v>0.84999999999999976</v>
      </c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spans="1:26" ht="12.75" customHeight="1" x14ac:dyDescent="0.2">
      <c r="A137" s="95"/>
      <c r="B137" s="141" t="s">
        <v>25</v>
      </c>
      <c r="C137" s="131" t="s">
        <v>241</v>
      </c>
      <c r="D137" s="132">
        <f t="shared" ref="D137:O137" si="16">SUM(D130:D136)</f>
        <v>0.95</v>
      </c>
      <c r="E137" s="132">
        <f t="shared" si="16"/>
        <v>0.95</v>
      </c>
      <c r="F137" s="132">
        <f t="shared" si="16"/>
        <v>0.95</v>
      </c>
      <c r="G137" s="132">
        <f t="shared" si="16"/>
        <v>0.95</v>
      </c>
      <c r="H137" s="132">
        <f t="shared" si="16"/>
        <v>0.95</v>
      </c>
      <c r="I137" s="132">
        <f t="shared" si="16"/>
        <v>0.95</v>
      </c>
      <c r="J137" s="132">
        <f t="shared" si="16"/>
        <v>0.95</v>
      </c>
      <c r="K137" s="132">
        <f t="shared" si="16"/>
        <v>0.95</v>
      </c>
      <c r="L137" s="132">
        <f t="shared" si="16"/>
        <v>0.95</v>
      </c>
      <c r="M137" s="132">
        <f t="shared" si="16"/>
        <v>0.95</v>
      </c>
      <c r="N137" s="132">
        <f t="shared" si="16"/>
        <v>0.95</v>
      </c>
      <c r="O137" s="198">
        <f t="shared" si="16"/>
        <v>0.95</v>
      </c>
      <c r="P137" s="211">
        <f t="shared" si="0"/>
        <v>0.94999999999999984</v>
      </c>
      <c r="Q137" s="212"/>
      <c r="R137" s="95"/>
      <c r="S137" s="95"/>
      <c r="T137" s="95"/>
      <c r="U137" s="95"/>
      <c r="V137" s="95"/>
      <c r="W137" s="95"/>
      <c r="X137" s="95"/>
      <c r="Y137" s="95"/>
      <c r="Z137" s="95"/>
    </row>
    <row r="138" spans="1:26" ht="12.75" customHeight="1" x14ac:dyDescent="0.2">
      <c r="A138" s="95"/>
      <c r="B138" s="142" t="s">
        <v>56</v>
      </c>
      <c r="C138" s="13" t="s">
        <v>9</v>
      </c>
      <c r="D138" s="157"/>
      <c r="E138" s="157"/>
      <c r="F138" s="157"/>
      <c r="G138" s="157"/>
      <c r="H138" s="169"/>
      <c r="I138" s="169"/>
      <c r="J138" s="169"/>
      <c r="K138" s="169"/>
      <c r="L138" s="153"/>
      <c r="M138" s="153"/>
      <c r="N138" s="123">
        <v>0</v>
      </c>
      <c r="O138" s="120">
        <v>0</v>
      </c>
      <c r="P138" s="208">
        <f t="shared" si="0"/>
        <v>0</v>
      </c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spans="1:26" ht="12.75" customHeight="1" x14ac:dyDescent="0.2">
      <c r="A139" s="95"/>
      <c r="B139" s="19" t="s">
        <v>281</v>
      </c>
      <c r="C139" s="20" t="s">
        <v>11</v>
      </c>
      <c r="D139" s="157"/>
      <c r="E139" s="157"/>
      <c r="F139" s="157"/>
      <c r="G139" s="157"/>
      <c r="H139" s="169"/>
      <c r="I139" s="169"/>
      <c r="J139" s="169"/>
      <c r="K139" s="169"/>
      <c r="L139" s="153"/>
      <c r="M139" s="153"/>
      <c r="N139" s="123">
        <v>0</v>
      </c>
      <c r="O139" s="120">
        <v>0</v>
      </c>
      <c r="P139" s="197">
        <f t="shared" si="0"/>
        <v>0</v>
      </c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spans="1:26" ht="12.75" customHeight="1" x14ac:dyDescent="0.2">
      <c r="A140" s="95"/>
      <c r="B140" s="122"/>
      <c r="C140" s="20" t="s">
        <v>12</v>
      </c>
      <c r="D140" s="157"/>
      <c r="E140" s="157"/>
      <c r="F140" s="157"/>
      <c r="G140" s="157"/>
      <c r="H140" s="169"/>
      <c r="I140" s="169"/>
      <c r="J140" s="169"/>
      <c r="K140" s="169"/>
      <c r="L140" s="153"/>
      <c r="M140" s="153"/>
      <c r="N140" s="123">
        <v>0</v>
      </c>
      <c r="O140" s="120">
        <v>0</v>
      </c>
      <c r="P140" s="197">
        <f t="shared" si="0"/>
        <v>0</v>
      </c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spans="1:26" ht="12.75" customHeight="1" x14ac:dyDescent="0.2">
      <c r="A141" s="95"/>
      <c r="B141" s="122"/>
      <c r="C141" s="20" t="s">
        <v>13</v>
      </c>
      <c r="D141" s="157"/>
      <c r="E141" s="157"/>
      <c r="F141" s="157"/>
      <c r="G141" s="157"/>
      <c r="H141" s="169"/>
      <c r="I141" s="169"/>
      <c r="J141" s="169"/>
      <c r="K141" s="169"/>
      <c r="L141" s="153"/>
      <c r="M141" s="153"/>
      <c r="N141" s="123">
        <v>0</v>
      </c>
      <c r="O141" s="120">
        <v>0</v>
      </c>
      <c r="P141" s="197">
        <f t="shared" si="0"/>
        <v>0</v>
      </c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spans="1:26" ht="12.75" customHeight="1" x14ac:dyDescent="0.2">
      <c r="A142" s="95"/>
      <c r="B142" s="122"/>
      <c r="C142" s="20" t="s">
        <v>14</v>
      </c>
      <c r="D142" s="157"/>
      <c r="E142" s="157"/>
      <c r="F142" s="157"/>
      <c r="G142" s="157"/>
      <c r="H142" s="169"/>
      <c r="I142" s="169"/>
      <c r="J142" s="169"/>
      <c r="K142" s="169"/>
      <c r="L142" s="153"/>
      <c r="M142" s="153"/>
      <c r="N142" s="123">
        <v>0.05</v>
      </c>
      <c r="O142" s="120">
        <v>0.05</v>
      </c>
      <c r="P142" s="197">
        <f t="shared" si="0"/>
        <v>0.05</v>
      </c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spans="1:26" ht="12.75" customHeight="1" x14ac:dyDescent="0.2">
      <c r="A143" s="95"/>
      <c r="B143" s="122"/>
      <c r="C143" s="20" t="s">
        <v>15</v>
      </c>
      <c r="D143" s="157"/>
      <c r="E143" s="157"/>
      <c r="F143" s="157"/>
      <c r="G143" s="157"/>
      <c r="H143" s="169"/>
      <c r="I143" s="169"/>
      <c r="J143" s="169"/>
      <c r="K143" s="169"/>
      <c r="L143" s="153"/>
      <c r="M143" s="153"/>
      <c r="N143" s="123">
        <v>0</v>
      </c>
      <c r="O143" s="120">
        <v>0</v>
      </c>
      <c r="P143" s="197">
        <f t="shared" si="0"/>
        <v>0</v>
      </c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spans="1:26" ht="12.75" customHeight="1" x14ac:dyDescent="0.2">
      <c r="A144" s="95"/>
      <c r="B144" s="122"/>
      <c r="C144" s="20" t="s">
        <v>16</v>
      </c>
      <c r="D144" s="157"/>
      <c r="E144" s="157"/>
      <c r="F144" s="157"/>
      <c r="G144" s="157"/>
      <c r="H144" s="169"/>
      <c r="I144" s="169"/>
      <c r="J144" s="169"/>
      <c r="K144" s="169"/>
      <c r="L144" s="153"/>
      <c r="M144" s="153"/>
      <c r="N144" s="123">
        <v>0</v>
      </c>
      <c r="O144" s="120">
        <v>0</v>
      </c>
      <c r="P144" s="197">
        <f t="shared" si="0"/>
        <v>0</v>
      </c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spans="1:26" ht="12.75" customHeight="1" x14ac:dyDescent="0.2">
      <c r="A145" s="95"/>
      <c r="B145" s="146" t="str">
        <f>B138</f>
        <v>Hope Dolino</v>
      </c>
      <c r="C145" s="147" t="s">
        <v>241</v>
      </c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>
        <f t="shared" ref="N145:O145" si="17">SUM(N138:N144)</f>
        <v>0.05</v>
      </c>
      <c r="O145" s="209">
        <f t="shared" si="17"/>
        <v>0.05</v>
      </c>
      <c r="P145" s="210">
        <f t="shared" si="0"/>
        <v>0.05</v>
      </c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spans="1:26" ht="12.75" customHeight="1" x14ac:dyDescent="0.2">
      <c r="A146" s="95"/>
      <c r="B146" s="111" t="s">
        <v>282</v>
      </c>
      <c r="C146" s="36" t="s">
        <v>9</v>
      </c>
      <c r="D146" s="166"/>
      <c r="E146" s="166"/>
      <c r="F146" s="166"/>
      <c r="G146" s="166"/>
      <c r="H146" s="167"/>
      <c r="I146" s="167"/>
      <c r="J146" s="167"/>
      <c r="K146" s="167"/>
      <c r="L146" s="151"/>
      <c r="M146" s="151"/>
      <c r="N146" s="151"/>
      <c r="O146" s="113">
        <v>0</v>
      </c>
      <c r="P146" s="196">
        <f t="shared" si="0"/>
        <v>0</v>
      </c>
      <c r="Q146" s="195"/>
      <c r="R146" s="95"/>
      <c r="S146" s="95"/>
      <c r="T146" s="95"/>
      <c r="U146" s="95"/>
      <c r="V146" s="95"/>
      <c r="W146" s="95"/>
      <c r="X146" s="95"/>
      <c r="Y146" s="95"/>
      <c r="Z146" s="95"/>
    </row>
    <row r="147" spans="1:26" ht="12.75" customHeight="1" x14ac:dyDescent="0.2">
      <c r="A147" s="95"/>
      <c r="B147" s="19" t="s">
        <v>281</v>
      </c>
      <c r="C147" s="20" t="s">
        <v>11</v>
      </c>
      <c r="D147" s="157"/>
      <c r="E147" s="157"/>
      <c r="F147" s="157"/>
      <c r="G147" s="157"/>
      <c r="H147" s="169"/>
      <c r="I147" s="169"/>
      <c r="J147" s="169"/>
      <c r="K147" s="169"/>
      <c r="L147" s="153"/>
      <c r="M147" s="153"/>
      <c r="N147" s="153"/>
      <c r="O147" s="120">
        <v>0</v>
      </c>
      <c r="P147" s="197">
        <f t="shared" si="0"/>
        <v>0</v>
      </c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spans="1:26" ht="12.75" customHeight="1" x14ac:dyDescent="0.2">
      <c r="A148" s="95"/>
      <c r="B148" s="122"/>
      <c r="C148" s="20" t="s">
        <v>12</v>
      </c>
      <c r="D148" s="157"/>
      <c r="E148" s="157"/>
      <c r="F148" s="157"/>
      <c r="G148" s="157"/>
      <c r="H148" s="169"/>
      <c r="I148" s="169"/>
      <c r="J148" s="169"/>
      <c r="K148" s="169"/>
      <c r="L148" s="153"/>
      <c r="M148" s="153"/>
      <c r="N148" s="153"/>
      <c r="O148" s="120">
        <v>0</v>
      </c>
      <c r="P148" s="197">
        <f t="shared" si="0"/>
        <v>0</v>
      </c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spans="1:26" ht="12.75" customHeight="1" x14ac:dyDescent="0.2">
      <c r="A149" s="95"/>
      <c r="B149" s="122"/>
      <c r="C149" s="20" t="s">
        <v>13</v>
      </c>
      <c r="D149" s="157"/>
      <c r="E149" s="157"/>
      <c r="F149" s="157"/>
      <c r="G149" s="157"/>
      <c r="H149" s="169"/>
      <c r="I149" s="169"/>
      <c r="J149" s="169"/>
      <c r="K149" s="169"/>
      <c r="L149" s="153"/>
      <c r="M149" s="153"/>
      <c r="N149" s="153"/>
      <c r="O149" s="120">
        <v>0</v>
      </c>
      <c r="P149" s="197">
        <f t="shared" si="0"/>
        <v>0</v>
      </c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spans="1:26" ht="12.75" customHeight="1" x14ac:dyDescent="0.2">
      <c r="A150" s="95"/>
      <c r="B150" s="122"/>
      <c r="C150" s="20" t="s">
        <v>14</v>
      </c>
      <c r="D150" s="157"/>
      <c r="E150" s="157"/>
      <c r="F150" s="157"/>
      <c r="G150" s="157"/>
      <c r="H150" s="169"/>
      <c r="I150" s="169"/>
      <c r="J150" s="169"/>
      <c r="K150" s="169"/>
      <c r="L150" s="153"/>
      <c r="M150" s="153"/>
      <c r="N150" s="153"/>
      <c r="O150" s="120">
        <v>0.05</v>
      </c>
      <c r="P150" s="197">
        <f t="shared" si="0"/>
        <v>0.05</v>
      </c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spans="1:26" ht="12.75" customHeight="1" x14ac:dyDescent="0.2">
      <c r="A151" s="95"/>
      <c r="B151" s="122"/>
      <c r="C151" s="20" t="s">
        <v>15</v>
      </c>
      <c r="D151" s="157"/>
      <c r="E151" s="157"/>
      <c r="F151" s="157"/>
      <c r="G151" s="157"/>
      <c r="H151" s="169"/>
      <c r="I151" s="169"/>
      <c r="J151" s="169"/>
      <c r="K151" s="169"/>
      <c r="L151" s="153"/>
      <c r="M151" s="153"/>
      <c r="N151" s="153"/>
      <c r="O151" s="120">
        <v>0</v>
      </c>
      <c r="P151" s="197">
        <f t="shared" si="0"/>
        <v>0</v>
      </c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spans="1:26" ht="12.75" customHeight="1" x14ac:dyDescent="0.2">
      <c r="A152" s="95"/>
      <c r="B152" s="176"/>
      <c r="C152" s="177" t="s">
        <v>16</v>
      </c>
      <c r="D152" s="163"/>
      <c r="E152" s="163"/>
      <c r="F152" s="163"/>
      <c r="G152" s="163"/>
      <c r="H152" s="213"/>
      <c r="I152" s="213"/>
      <c r="J152" s="213"/>
      <c r="K152" s="213"/>
      <c r="L152" s="214"/>
      <c r="M152" s="214"/>
      <c r="N152" s="214"/>
      <c r="O152" s="215">
        <v>0</v>
      </c>
      <c r="P152" s="197">
        <f t="shared" si="0"/>
        <v>0</v>
      </c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spans="1:26" ht="12.75" customHeight="1" x14ac:dyDescent="0.2">
      <c r="A153" s="95"/>
      <c r="B153" s="173" t="str">
        <f>B146</f>
        <v>Kristin Tan</v>
      </c>
      <c r="C153" s="174" t="s">
        <v>241</v>
      </c>
      <c r="D153" s="175"/>
      <c r="E153" s="175"/>
      <c r="F153" s="175"/>
      <c r="G153" s="175"/>
      <c r="H153" s="175"/>
      <c r="I153" s="175"/>
      <c r="J153" s="175"/>
      <c r="K153" s="175"/>
      <c r="L153" s="175"/>
      <c r="M153" s="175"/>
      <c r="N153" s="175"/>
      <c r="O153" s="216">
        <f>SUM(O146:O152)</f>
        <v>0.05</v>
      </c>
      <c r="P153" s="211">
        <f t="shared" si="0"/>
        <v>0.05</v>
      </c>
      <c r="Q153" s="212"/>
      <c r="R153" s="95"/>
      <c r="S153" s="95"/>
      <c r="T153" s="95"/>
      <c r="U153" s="95"/>
      <c r="V153" s="95"/>
      <c r="W153" s="95"/>
      <c r="X153" s="95"/>
      <c r="Y153" s="95"/>
      <c r="Z153" s="95"/>
    </row>
    <row r="154" spans="1:26" ht="12.75" customHeight="1" x14ac:dyDescent="0.2">
      <c r="A154" s="95"/>
      <c r="B154" s="142" t="s">
        <v>361</v>
      </c>
      <c r="C154" s="13" t="s">
        <v>9</v>
      </c>
      <c r="D154" s="143">
        <v>0</v>
      </c>
      <c r="E154" s="143">
        <v>0</v>
      </c>
      <c r="F154" s="143">
        <v>0</v>
      </c>
      <c r="G154" s="143">
        <v>0</v>
      </c>
      <c r="H154" s="144">
        <v>0</v>
      </c>
      <c r="I154" s="144">
        <v>0</v>
      </c>
      <c r="J154" s="169"/>
      <c r="K154" s="169"/>
      <c r="L154" s="153"/>
      <c r="M154" s="153"/>
      <c r="N154" s="153"/>
      <c r="O154" s="168"/>
      <c r="P154" s="208">
        <f t="shared" si="0"/>
        <v>0</v>
      </c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spans="1:26" ht="12.75" customHeight="1" x14ac:dyDescent="0.2">
      <c r="A155" s="95"/>
      <c r="B155" s="19" t="s">
        <v>281</v>
      </c>
      <c r="C155" s="20" t="s">
        <v>11</v>
      </c>
      <c r="D155" s="143">
        <v>0</v>
      </c>
      <c r="E155" s="143">
        <v>0</v>
      </c>
      <c r="F155" s="143">
        <v>0</v>
      </c>
      <c r="G155" s="143">
        <v>0</v>
      </c>
      <c r="H155" s="144">
        <v>0</v>
      </c>
      <c r="I155" s="144">
        <v>0</v>
      </c>
      <c r="J155" s="169"/>
      <c r="K155" s="169"/>
      <c r="L155" s="153"/>
      <c r="M155" s="153"/>
      <c r="N155" s="153"/>
      <c r="O155" s="168"/>
      <c r="P155" s="197">
        <f t="shared" si="0"/>
        <v>0</v>
      </c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spans="1:26" ht="12.75" customHeight="1" x14ac:dyDescent="0.2">
      <c r="A156" s="95"/>
      <c r="B156" s="122"/>
      <c r="C156" s="20" t="s">
        <v>12</v>
      </c>
      <c r="D156" s="143">
        <v>0</v>
      </c>
      <c r="E156" s="143">
        <v>0</v>
      </c>
      <c r="F156" s="143">
        <v>0</v>
      </c>
      <c r="G156" s="143">
        <v>0</v>
      </c>
      <c r="H156" s="144">
        <v>0</v>
      </c>
      <c r="I156" s="144">
        <v>0</v>
      </c>
      <c r="J156" s="169"/>
      <c r="K156" s="169"/>
      <c r="L156" s="153"/>
      <c r="M156" s="153"/>
      <c r="N156" s="153"/>
      <c r="O156" s="168"/>
      <c r="P156" s="197">
        <f t="shared" si="0"/>
        <v>0</v>
      </c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spans="1:26" ht="12.75" customHeight="1" x14ac:dyDescent="0.2">
      <c r="A157" s="95"/>
      <c r="B157" s="122"/>
      <c r="C157" s="20" t="s">
        <v>13</v>
      </c>
      <c r="D157" s="143">
        <v>0</v>
      </c>
      <c r="E157" s="143">
        <v>0</v>
      </c>
      <c r="F157" s="143">
        <v>0</v>
      </c>
      <c r="G157" s="143">
        <v>0</v>
      </c>
      <c r="H157" s="144">
        <v>0</v>
      </c>
      <c r="I157" s="144">
        <v>0</v>
      </c>
      <c r="J157" s="169"/>
      <c r="K157" s="169"/>
      <c r="L157" s="153"/>
      <c r="M157" s="153"/>
      <c r="N157" s="153"/>
      <c r="O157" s="168"/>
      <c r="P157" s="197">
        <f t="shared" si="0"/>
        <v>0</v>
      </c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spans="1:26" ht="12.75" customHeight="1" x14ac:dyDescent="0.2">
      <c r="A158" s="95"/>
      <c r="B158" s="122"/>
      <c r="C158" s="20" t="s">
        <v>14</v>
      </c>
      <c r="D158" s="143">
        <v>0.05</v>
      </c>
      <c r="E158" s="143">
        <v>0.05</v>
      </c>
      <c r="F158" s="143">
        <v>0.05</v>
      </c>
      <c r="G158" s="143">
        <v>0.05</v>
      </c>
      <c r="H158" s="144">
        <v>0.05</v>
      </c>
      <c r="I158" s="144">
        <v>0.05</v>
      </c>
      <c r="J158" s="169"/>
      <c r="K158" s="169"/>
      <c r="L158" s="153"/>
      <c r="M158" s="153"/>
      <c r="N158" s="153"/>
      <c r="O158" s="168"/>
      <c r="P158" s="197">
        <f t="shared" si="0"/>
        <v>4.9999999999999996E-2</v>
      </c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spans="1:26" ht="12.75" customHeight="1" x14ac:dyDescent="0.2">
      <c r="A159" s="95"/>
      <c r="B159" s="122"/>
      <c r="C159" s="20" t="s">
        <v>15</v>
      </c>
      <c r="D159" s="143">
        <v>0</v>
      </c>
      <c r="E159" s="143">
        <v>0</v>
      </c>
      <c r="F159" s="143">
        <v>0</v>
      </c>
      <c r="G159" s="143">
        <v>0</v>
      </c>
      <c r="H159" s="144">
        <v>0</v>
      </c>
      <c r="I159" s="144">
        <v>0</v>
      </c>
      <c r="J159" s="169"/>
      <c r="K159" s="169"/>
      <c r="L159" s="153"/>
      <c r="M159" s="153"/>
      <c r="N159" s="153"/>
      <c r="O159" s="168"/>
      <c r="P159" s="197">
        <f t="shared" si="0"/>
        <v>0</v>
      </c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spans="1:26" ht="12.75" customHeight="1" x14ac:dyDescent="0.2">
      <c r="A160" s="95"/>
      <c r="B160" s="122"/>
      <c r="C160" s="20" t="s">
        <v>16</v>
      </c>
      <c r="D160" s="143">
        <v>0.85</v>
      </c>
      <c r="E160" s="143">
        <v>0.85</v>
      </c>
      <c r="F160" s="143">
        <v>0.85</v>
      </c>
      <c r="G160" s="143">
        <v>0.85</v>
      </c>
      <c r="H160" s="144">
        <v>0.85</v>
      </c>
      <c r="I160" s="144">
        <v>0.85</v>
      </c>
      <c r="J160" s="169"/>
      <c r="K160" s="169"/>
      <c r="L160" s="153"/>
      <c r="M160" s="153"/>
      <c r="N160" s="153"/>
      <c r="O160" s="168"/>
      <c r="P160" s="197">
        <f t="shared" si="0"/>
        <v>0.85</v>
      </c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spans="1:26" ht="12.75" customHeight="1" x14ac:dyDescent="0.2">
      <c r="A161" s="95"/>
      <c r="B161" s="146" t="str">
        <f>B154</f>
        <v>Jason Davison</v>
      </c>
      <c r="C161" s="147" t="s">
        <v>241</v>
      </c>
      <c r="D161" s="148">
        <f t="shared" ref="D161:I161" si="18">SUM(D154:D160)</f>
        <v>0.9</v>
      </c>
      <c r="E161" s="148">
        <f t="shared" si="18"/>
        <v>0.9</v>
      </c>
      <c r="F161" s="148">
        <f t="shared" si="18"/>
        <v>0.9</v>
      </c>
      <c r="G161" s="148">
        <f t="shared" si="18"/>
        <v>0.9</v>
      </c>
      <c r="H161" s="148">
        <f t="shared" si="18"/>
        <v>0.9</v>
      </c>
      <c r="I161" s="148">
        <f t="shared" si="18"/>
        <v>0.9</v>
      </c>
      <c r="J161" s="148"/>
      <c r="K161" s="148"/>
      <c r="L161" s="148"/>
      <c r="M161" s="148"/>
      <c r="N161" s="148"/>
      <c r="O161" s="209"/>
      <c r="P161" s="210">
        <f t="shared" si="0"/>
        <v>0.9</v>
      </c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spans="1:26" ht="12.75" customHeight="1" x14ac:dyDescent="0.2">
      <c r="A162" s="95"/>
      <c r="B162" s="111" t="s">
        <v>7</v>
      </c>
      <c r="C162" s="36" t="s">
        <v>9</v>
      </c>
      <c r="D162" s="149">
        <v>0.25</v>
      </c>
      <c r="E162" s="149">
        <v>0.25</v>
      </c>
      <c r="F162" s="149">
        <v>0.15</v>
      </c>
      <c r="G162" s="149">
        <v>0.15</v>
      </c>
      <c r="H162" s="150">
        <v>0.15</v>
      </c>
      <c r="I162" s="150">
        <v>0.15</v>
      </c>
      <c r="J162" s="150">
        <v>0.25</v>
      </c>
      <c r="K162" s="150">
        <v>0.25</v>
      </c>
      <c r="L162" s="112">
        <v>0.25</v>
      </c>
      <c r="M162" s="112">
        <v>0.25</v>
      </c>
      <c r="N162" s="112">
        <v>0.25</v>
      </c>
      <c r="O162" s="113">
        <v>0.25</v>
      </c>
      <c r="P162" s="196">
        <f t="shared" si="0"/>
        <v>0.21666666666666667</v>
      </c>
      <c r="Q162" s="195"/>
      <c r="R162" s="95"/>
      <c r="S162" s="95"/>
      <c r="T162" s="95"/>
      <c r="U162" s="95"/>
      <c r="V162" s="95"/>
      <c r="W162" s="95"/>
      <c r="X162" s="95"/>
      <c r="Y162" s="95"/>
      <c r="Z162" s="95"/>
    </row>
    <row r="163" spans="1:26" ht="12.75" customHeight="1" x14ac:dyDescent="0.2">
      <c r="A163" s="95"/>
      <c r="B163" s="19" t="s">
        <v>10</v>
      </c>
      <c r="C163" s="20" t="s">
        <v>11</v>
      </c>
      <c r="D163" s="143">
        <v>0.2</v>
      </c>
      <c r="E163" s="143">
        <v>0.1</v>
      </c>
      <c r="F163" s="143">
        <v>0.1</v>
      </c>
      <c r="G163" s="143">
        <v>0.1</v>
      </c>
      <c r="H163" s="144">
        <v>0.1</v>
      </c>
      <c r="I163" s="144">
        <v>0.1</v>
      </c>
      <c r="J163" s="144">
        <v>0.2</v>
      </c>
      <c r="K163" s="144">
        <v>0.2</v>
      </c>
      <c r="L163" s="123">
        <v>0.2</v>
      </c>
      <c r="M163" s="123">
        <v>0.2</v>
      </c>
      <c r="N163" s="123">
        <v>0.2</v>
      </c>
      <c r="O163" s="120">
        <v>0.2</v>
      </c>
      <c r="P163" s="197">
        <f t="shared" si="0"/>
        <v>0.1583333333333333</v>
      </c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spans="1:26" ht="12.75" customHeight="1" x14ac:dyDescent="0.2">
      <c r="A164" s="95"/>
      <c r="B164" s="122"/>
      <c r="C164" s="20" t="s">
        <v>12</v>
      </c>
      <c r="D164" s="143">
        <v>0</v>
      </c>
      <c r="E164" s="143">
        <v>0</v>
      </c>
      <c r="F164" s="143">
        <v>0</v>
      </c>
      <c r="G164" s="143">
        <v>0</v>
      </c>
      <c r="H164" s="144">
        <v>0</v>
      </c>
      <c r="I164" s="144">
        <v>0</v>
      </c>
      <c r="J164" s="144">
        <v>0</v>
      </c>
      <c r="K164" s="144">
        <v>0</v>
      </c>
      <c r="L164" s="123">
        <v>0</v>
      </c>
      <c r="M164" s="123">
        <v>0</v>
      </c>
      <c r="N164" s="123">
        <v>0</v>
      </c>
      <c r="O164" s="120">
        <v>0</v>
      </c>
      <c r="P164" s="197">
        <f t="shared" si="0"/>
        <v>0</v>
      </c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spans="1:26" ht="12.75" customHeight="1" x14ac:dyDescent="0.2">
      <c r="A165" s="95"/>
      <c r="B165" s="122"/>
      <c r="C165" s="20" t="s">
        <v>13</v>
      </c>
      <c r="D165" s="143">
        <v>0</v>
      </c>
      <c r="E165" s="143">
        <v>0</v>
      </c>
      <c r="F165" s="143">
        <v>0</v>
      </c>
      <c r="G165" s="143">
        <v>0</v>
      </c>
      <c r="H165" s="144">
        <v>0</v>
      </c>
      <c r="I165" s="144">
        <v>0</v>
      </c>
      <c r="J165" s="144">
        <v>0</v>
      </c>
      <c r="K165" s="144">
        <v>0</v>
      </c>
      <c r="L165" s="123">
        <v>0</v>
      </c>
      <c r="M165" s="123">
        <v>0</v>
      </c>
      <c r="N165" s="123">
        <v>0</v>
      </c>
      <c r="O165" s="120">
        <v>0</v>
      </c>
      <c r="P165" s="197">
        <f t="shared" si="0"/>
        <v>0</v>
      </c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spans="1:26" ht="12.75" customHeight="1" x14ac:dyDescent="0.2">
      <c r="A166" s="95"/>
      <c r="B166" s="122"/>
      <c r="C166" s="20" t="s">
        <v>14</v>
      </c>
      <c r="D166" s="143">
        <v>0.05</v>
      </c>
      <c r="E166" s="143">
        <v>0.05</v>
      </c>
      <c r="F166" s="143">
        <v>0.05</v>
      </c>
      <c r="G166" s="143">
        <v>0.05</v>
      </c>
      <c r="H166" s="144">
        <v>0.05</v>
      </c>
      <c r="I166" s="144">
        <v>0.05</v>
      </c>
      <c r="J166" s="144">
        <v>0.05</v>
      </c>
      <c r="K166" s="144">
        <v>0.05</v>
      </c>
      <c r="L166" s="123">
        <v>0.05</v>
      </c>
      <c r="M166" s="123">
        <v>0.05</v>
      </c>
      <c r="N166" s="123">
        <v>0.05</v>
      </c>
      <c r="O166" s="120">
        <v>0.05</v>
      </c>
      <c r="P166" s="197">
        <f t="shared" si="0"/>
        <v>4.9999999999999996E-2</v>
      </c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spans="1:26" ht="12.75" customHeight="1" x14ac:dyDescent="0.2">
      <c r="A167" s="95"/>
      <c r="B167" s="122"/>
      <c r="C167" s="20" t="s">
        <v>15</v>
      </c>
      <c r="D167" s="143">
        <v>0</v>
      </c>
      <c r="E167" s="143">
        <v>0</v>
      </c>
      <c r="F167" s="143">
        <v>0</v>
      </c>
      <c r="G167" s="143">
        <v>0</v>
      </c>
      <c r="H167" s="144">
        <v>0</v>
      </c>
      <c r="I167" s="144">
        <v>0</v>
      </c>
      <c r="J167" s="144">
        <v>0</v>
      </c>
      <c r="K167" s="144">
        <v>0</v>
      </c>
      <c r="L167" s="123">
        <v>0</v>
      </c>
      <c r="M167" s="123">
        <v>0</v>
      </c>
      <c r="N167" s="123">
        <v>0</v>
      </c>
      <c r="O167" s="120">
        <v>0</v>
      </c>
      <c r="P167" s="197">
        <f t="shared" si="0"/>
        <v>0</v>
      </c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spans="1:26" ht="12.75" customHeight="1" x14ac:dyDescent="0.2">
      <c r="A168" s="95"/>
      <c r="B168" s="176"/>
      <c r="C168" s="177" t="s">
        <v>16</v>
      </c>
      <c r="D168" s="217">
        <v>0.2</v>
      </c>
      <c r="E168" s="217">
        <v>0.2</v>
      </c>
      <c r="F168" s="217">
        <v>0.2</v>
      </c>
      <c r="G168" s="217">
        <v>0.2</v>
      </c>
      <c r="H168" s="218">
        <v>0.2</v>
      </c>
      <c r="I168" s="218">
        <v>0.2</v>
      </c>
      <c r="J168" s="218">
        <v>0.2</v>
      </c>
      <c r="K168" s="218">
        <v>0.2</v>
      </c>
      <c r="L168" s="219">
        <v>0.2</v>
      </c>
      <c r="M168" s="219">
        <v>0.2</v>
      </c>
      <c r="N168" s="219">
        <v>0.2</v>
      </c>
      <c r="O168" s="215">
        <v>0.2</v>
      </c>
      <c r="P168" s="197">
        <f t="shared" si="0"/>
        <v>0.19999999999999998</v>
      </c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spans="1:26" ht="12.75" customHeight="1" x14ac:dyDescent="0.2">
      <c r="A169" s="95"/>
      <c r="B169" s="173" t="str">
        <f>B162</f>
        <v>Beau Leese</v>
      </c>
      <c r="C169" s="174" t="s">
        <v>241</v>
      </c>
      <c r="D169" s="175">
        <f t="shared" ref="D169:O169" si="19">SUM(D162:D168)</f>
        <v>0.7</v>
      </c>
      <c r="E169" s="175">
        <f t="shared" si="19"/>
        <v>0.6</v>
      </c>
      <c r="F169" s="175">
        <f t="shared" si="19"/>
        <v>0.5</v>
      </c>
      <c r="G169" s="175">
        <f t="shared" si="19"/>
        <v>0.5</v>
      </c>
      <c r="H169" s="175">
        <f t="shared" si="19"/>
        <v>0.5</v>
      </c>
      <c r="I169" s="175">
        <f t="shared" si="19"/>
        <v>0.5</v>
      </c>
      <c r="J169" s="175">
        <f t="shared" si="19"/>
        <v>0.7</v>
      </c>
      <c r="K169" s="175">
        <f t="shared" si="19"/>
        <v>0.7</v>
      </c>
      <c r="L169" s="175">
        <f t="shared" si="19"/>
        <v>0.7</v>
      </c>
      <c r="M169" s="175">
        <f t="shared" si="19"/>
        <v>0.7</v>
      </c>
      <c r="N169" s="175">
        <f t="shared" si="19"/>
        <v>0.7</v>
      </c>
      <c r="O169" s="216">
        <f t="shared" si="19"/>
        <v>0.7</v>
      </c>
      <c r="P169" s="211">
        <f t="shared" si="0"/>
        <v>0.62500000000000011</v>
      </c>
      <c r="Q169" s="212"/>
      <c r="R169" s="95"/>
      <c r="S169" s="95"/>
      <c r="T169" s="95"/>
      <c r="U169" s="95"/>
      <c r="V169" s="95"/>
      <c r="W169" s="95"/>
      <c r="X169" s="95"/>
      <c r="Y169" s="95"/>
      <c r="Z169" s="95"/>
    </row>
    <row r="170" spans="1:26" ht="12.75" customHeight="1" x14ac:dyDescent="0.2">
      <c r="A170" s="95"/>
      <c r="B170" s="142" t="s">
        <v>19</v>
      </c>
      <c r="C170" s="13" t="s">
        <v>9</v>
      </c>
      <c r="D170" s="143">
        <v>0.3</v>
      </c>
      <c r="E170" s="143">
        <v>0.3</v>
      </c>
      <c r="F170" s="143">
        <v>0.3</v>
      </c>
      <c r="G170" s="143">
        <v>0.1</v>
      </c>
      <c r="H170" s="144">
        <v>0.1</v>
      </c>
      <c r="I170" s="144">
        <v>0.1</v>
      </c>
      <c r="J170" s="144">
        <v>0.05</v>
      </c>
      <c r="K170" s="144">
        <v>0.05</v>
      </c>
      <c r="L170" s="123">
        <v>0.05</v>
      </c>
      <c r="M170" s="123">
        <v>0.05</v>
      </c>
      <c r="N170" s="123">
        <v>0.05</v>
      </c>
      <c r="O170" s="120">
        <v>0.05</v>
      </c>
      <c r="P170" s="208">
        <f t="shared" si="0"/>
        <v>0.12500000000000003</v>
      </c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spans="1:26" ht="12.75" customHeight="1" x14ac:dyDescent="0.2">
      <c r="A171" s="95"/>
      <c r="B171" s="19" t="s">
        <v>362</v>
      </c>
      <c r="C171" s="20" t="s">
        <v>11</v>
      </c>
      <c r="D171" s="143">
        <v>0</v>
      </c>
      <c r="E171" s="143">
        <v>0</v>
      </c>
      <c r="F171" s="143">
        <v>0</v>
      </c>
      <c r="G171" s="143">
        <v>0.2</v>
      </c>
      <c r="H171" s="144">
        <v>0.2</v>
      </c>
      <c r="I171" s="144">
        <v>0.2</v>
      </c>
      <c r="J171" s="144">
        <v>0</v>
      </c>
      <c r="K171" s="144">
        <v>0</v>
      </c>
      <c r="L171" s="123">
        <v>0</v>
      </c>
      <c r="M171" s="123">
        <v>0</v>
      </c>
      <c r="N171" s="123">
        <v>0</v>
      </c>
      <c r="O171" s="120">
        <v>0</v>
      </c>
      <c r="P171" s="197">
        <f t="shared" si="0"/>
        <v>5.000000000000001E-2</v>
      </c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spans="1:26" ht="12.75" customHeight="1" x14ac:dyDescent="0.2">
      <c r="A172" s="95"/>
      <c r="B172" s="122"/>
      <c r="C172" s="20" t="s">
        <v>12</v>
      </c>
      <c r="D172" s="143">
        <v>0</v>
      </c>
      <c r="E172" s="143">
        <v>0</v>
      </c>
      <c r="F172" s="143">
        <v>0</v>
      </c>
      <c r="G172" s="143">
        <v>0</v>
      </c>
      <c r="H172" s="144">
        <v>0</v>
      </c>
      <c r="I172" s="144">
        <v>0</v>
      </c>
      <c r="J172" s="144">
        <v>0</v>
      </c>
      <c r="K172" s="144">
        <v>0</v>
      </c>
      <c r="L172" s="123">
        <v>0</v>
      </c>
      <c r="M172" s="123">
        <v>0</v>
      </c>
      <c r="N172" s="123">
        <v>0</v>
      </c>
      <c r="O172" s="120">
        <v>0</v>
      </c>
      <c r="P172" s="197">
        <f t="shared" si="0"/>
        <v>0</v>
      </c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spans="1:26" ht="12.75" customHeight="1" x14ac:dyDescent="0.2">
      <c r="A173" s="95"/>
      <c r="B173" s="122"/>
      <c r="C173" s="20" t="s">
        <v>13</v>
      </c>
      <c r="D173" s="143">
        <v>0</v>
      </c>
      <c r="E173" s="143">
        <v>0</v>
      </c>
      <c r="F173" s="143">
        <v>0</v>
      </c>
      <c r="G173" s="143">
        <v>0</v>
      </c>
      <c r="H173" s="144">
        <v>0</v>
      </c>
      <c r="I173" s="144">
        <v>0</v>
      </c>
      <c r="J173" s="144">
        <v>0</v>
      </c>
      <c r="K173" s="144">
        <v>0</v>
      </c>
      <c r="L173" s="123">
        <v>0</v>
      </c>
      <c r="M173" s="123">
        <v>0</v>
      </c>
      <c r="N173" s="123">
        <v>0</v>
      </c>
      <c r="O173" s="120">
        <v>0</v>
      </c>
      <c r="P173" s="197">
        <f t="shared" si="0"/>
        <v>0</v>
      </c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spans="1:26" ht="12.75" customHeight="1" x14ac:dyDescent="0.2">
      <c r="A174" s="95"/>
      <c r="B174" s="122"/>
      <c r="C174" s="20" t="s">
        <v>14</v>
      </c>
      <c r="D174" s="143">
        <v>0.05</v>
      </c>
      <c r="E174" s="143">
        <v>0.05</v>
      </c>
      <c r="F174" s="143">
        <v>0.05</v>
      </c>
      <c r="G174" s="143">
        <v>0.05</v>
      </c>
      <c r="H174" s="144">
        <v>0.05</v>
      </c>
      <c r="I174" s="144">
        <v>0.05</v>
      </c>
      <c r="J174" s="144">
        <v>0.05</v>
      </c>
      <c r="K174" s="144">
        <v>0.05</v>
      </c>
      <c r="L174" s="123">
        <v>0.05</v>
      </c>
      <c r="M174" s="123">
        <v>0.05</v>
      </c>
      <c r="N174" s="123">
        <v>0.05</v>
      </c>
      <c r="O174" s="120">
        <v>0.05</v>
      </c>
      <c r="P174" s="197">
        <f t="shared" si="0"/>
        <v>4.9999999999999996E-2</v>
      </c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spans="1:26" ht="12.75" customHeight="1" x14ac:dyDescent="0.2">
      <c r="A175" s="95"/>
      <c r="B175" s="122"/>
      <c r="C175" s="20" t="s">
        <v>15</v>
      </c>
      <c r="D175" s="143">
        <v>0</v>
      </c>
      <c r="E175" s="143">
        <v>0</v>
      </c>
      <c r="F175" s="143">
        <v>0</v>
      </c>
      <c r="G175" s="143">
        <v>0</v>
      </c>
      <c r="H175" s="144">
        <v>0</v>
      </c>
      <c r="I175" s="144">
        <v>0</v>
      </c>
      <c r="J175" s="144">
        <v>0</v>
      </c>
      <c r="K175" s="144">
        <v>0</v>
      </c>
      <c r="L175" s="123">
        <v>0</v>
      </c>
      <c r="M175" s="123">
        <v>0</v>
      </c>
      <c r="N175" s="123">
        <v>0</v>
      </c>
      <c r="O175" s="120">
        <v>0</v>
      </c>
      <c r="P175" s="197">
        <f t="shared" si="0"/>
        <v>0</v>
      </c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spans="1:26" ht="12.75" customHeight="1" x14ac:dyDescent="0.2">
      <c r="A176" s="95"/>
      <c r="B176" s="122"/>
      <c r="C176" s="20" t="s">
        <v>16</v>
      </c>
      <c r="D176" s="143">
        <v>0.2</v>
      </c>
      <c r="E176" s="143">
        <v>0.2</v>
      </c>
      <c r="F176" s="143">
        <v>0.2</v>
      </c>
      <c r="G176" s="143">
        <v>0.2</v>
      </c>
      <c r="H176" s="144">
        <v>0.2</v>
      </c>
      <c r="I176" s="144">
        <v>0.2</v>
      </c>
      <c r="J176" s="144">
        <v>0.4</v>
      </c>
      <c r="K176" s="144">
        <v>0.4</v>
      </c>
      <c r="L176" s="123">
        <v>0.4</v>
      </c>
      <c r="M176" s="123">
        <v>0.4</v>
      </c>
      <c r="N176" s="123">
        <v>0.4</v>
      </c>
      <c r="O176" s="120">
        <v>0.4</v>
      </c>
      <c r="P176" s="197">
        <f t="shared" si="0"/>
        <v>0.3</v>
      </c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spans="1:26" ht="12.75" customHeight="1" x14ac:dyDescent="0.2">
      <c r="A177" s="95"/>
      <c r="B177" s="146" t="s">
        <v>217</v>
      </c>
      <c r="C177" s="147" t="s">
        <v>241</v>
      </c>
      <c r="D177" s="148">
        <f t="shared" ref="D177:O177" si="20">SUM(D170:D176)</f>
        <v>0.55000000000000004</v>
      </c>
      <c r="E177" s="148">
        <f t="shared" si="20"/>
        <v>0.55000000000000004</v>
      </c>
      <c r="F177" s="148">
        <f t="shared" si="20"/>
        <v>0.55000000000000004</v>
      </c>
      <c r="G177" s="148">
        <f t="shared" si="20"/>
        <v>0.55000000000000004</v>
      </c>
      <c r="H177" s="148">
        <f t="shared" si="20"/>
        <v>0.55000000000000004</v>
      </c>
      <c r="I177" s="148">
        <f t="shared" si="20"/>
        <v>0.55000000000000004</v>
      </c>
      <c r="J177" s="148">
        <f t="shared" si="20"/>
        <v>0.5</v>
      </c>
      <c r="K177" s="148">
        <f t="shared" si="20"/>
        <v>0.5</v>
      </c>
      <c r="L177" s="148">
        <f t="shared" si="20"/>
        <v>0.5</v>
      </c>
      <c r="M177" s="148">
        <f t="shared" si="20"/>
        <v>0.5</v>
      </c>
      <c r="N177" s="148">
        <f t="shared" si="20"/>
        <v>0.5</v>
      </c>
      <c r="O177" s="209">
        <f t="shared" si="20"/>
        <v>0.5</v>
      </c>
      <c r="P177" s="210">
        <f t="shared" si="0"/>
        <v>0.52500000000000002</v>
      </c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spans="1:26" ht="12.75" customHeight="1" x14ac:dyDescent="0.2">
      <c r="A178" s="95"/>
      <c r="B178" s="111" t="s">
        <v>363</v>
      </c>
      <c r="C178" s="36" t="s">
        <v>9</v>
      </c>
      <c r="D178" s="149">
        <v>0.2</v>
      </c>
      <c r="E178" s="149">
        <v>0.2</v>
      </c>
      <c r="F178" s="149">
        <v>0.2</v>
      </c>
      <c r="G178" s="149">
        <v>0.2</v>
      </c>
      <c r="H178" s="150">
        <v>0.2</v>
      </c>
      <c r="I178" s="150">
        <v>0.2</v>
      </c>
      <c r="J178" s="150">
        <v>0.2</v>
      </c>
      <c r="K178" s="150">
        <v>0.2</v>
      </c>
      <c r="L178" s="151"/>
      <c r="M178" s="151"/>
      <c r="N178" s="151"/>
      <c r="O178" s="165"/>
      <c r="P178" s="196">
        <f t="shared" si="0"/>
        <v>0.19999999999999998</v>
      </c>
      <c r="Q178" s="195"/>
      <c r="R178" s="95"/>
      <c r="S178" s="95"/>
      <c r="T178" s="95"/>
      <c r="U178" s="95"/>
      <c r="V178" s="95"/>
      <c r="W178" s="95"/>
      <c r="X178" s="95"/>
      <c r="Y178" s="95"/>
      <c r="Z178" s="95"/>
    </row>
    <row r="179" spans="1:26" ht="12.75" customHeight="1" x14ac:dyDescent="0.2">
      <c r="A179" s="95"/>
      <c r="B179" s="19" t="s">
        <v>284</v>
      </c>
      <c r="C179" s="20" t="s">
        <v>11</v>
      </c>
      <c r="D179" s="143">
        <v>0</v>
      </c>
      <c r="E179" s="143">
        <v>0</v>
      </c>
      <c r="F179" s="143">
        <v>0</v>
      </c>
      <c r="G179" s="143">
        <v>0</v>
      </c>
      <c r="H179" s="144">
        <v>0</v>
      </c>
      <c r="I179" s="144">
        <v>0</v>
      </c>
      <c r="J179" s="144">
        <v>0</v>
      </c>
      <c r="K179" s="144">
        <v>0</v>
      </c>
      <c r="L179" s="153"/>
      <c r="M179" s="153"/>
      <c r="N179" s="153"/>
      <c r="O179" s="168"/>
      <c r="P179" s="197">
        <f t="shared" si="0"/>
        <v>0</v>
      </c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spans="1:26" ht="12.75" customHeight="1" x14ac:dyDescent="0.2">
      <c r="A180" s="95"/>
      <c r="B180" s="122"/>
      <c r="C180" s="20" t="s">
        <v>12</v>
      </c>
      <c r="D180" s="143">
        <v>0</v>
      </c>
      <c r="E180" s="143">
        <v>0</v>
      </c>
      <c r="F180" s="143">
        <v>0</v>
      </c>
      <c r="G180" s="143">
        <v>0</v>
      </c>
      <c r="H180" s="144">
        <v>0</v>
      </c>
      <c r="I180" s="144">
        <v>0</v>
      </c>
      <c r="J180" s="144">
        <v>0</v>
      </c>
      <c r="K180" s="144">
        <v>0</v>
      </c>
      <c r="L180" s="153"/>
      <c r="M180" s="153"/>
      <c r="N180" s="153"/>
      <c r="O180" s="168"/>
      <c r="P180" s="197">
        <f t="shared" si="0"/>
        <v>0</v>
      </c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spans="1:26" ht="12.75" customHeight="1" x14ac:dyDescent="0.2">
      <c r="A181" s="95"/>
      <c r="B181" s="122"/>
      <c r="C181" s="20" t="s">
        <v>13</v>
      </c>
      <c r="D181" s="143">
        <v>0</v>
      </c>
      <c r="E181" s="143">
        <v>0</v>
      </c>
      <c r="F181" s="143">
        <v>0</v>
      </c>
      <c r="G181" s="143">
        <v>0</v>
      </c>
      <c r="H181" s="144">
        <v>0</v>
      </c>
      <c r="I181" s="144">
        <v>0</v>
      </c>
      <c r="J181" s="144">
        <v>0</v>
      </c>
      <c r="K181" s="144">
        <v>0</v>
      </c>
      <c r="L181" s="153"/>
      <c r="M181" s="153"/>
      <c r="N181" s="153"/>
      <c r="O181" s="168"/>
      <c r="P181" s="197">
        <f t="shared" si="0"/>
        <v>0</v>
      </c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spans="1:26" ht="12.75" customHeight="1" x14ac:dyDescent="0.2">
      <c r="A182" s="95"/>
      <c r="B182" s="122"/>
      <c r="C182" s="20" t="s">
        <v>14</v>
      </c>
      <c r="D182" s="143">
        <v>0.05</v>
      </c>
      <c r="E182" s="143">
        <v>0.05</v>
      </c>
      <c r="F182" s="143">
        <v>0.05</v>
      </c>
      <c r="G182" s="143">
        <v>0.05</v>
      </c>
      <c r="H182" s="144">
        <v>0.05</v>
      </c>
      <c r="I182" s="144">
        <v>0.05</v>
      </c>
      <c r="J182" s="144">
        <v>0.05</v>
      </c>
      <c r="K182" s="144">
        <v>0.05</v>
      </c>
      <c r="L182" s="153"/>
      <c r="M182" s="153"/>
      <c r="N182" s="153"/>
      <c r="O182" s="168"/>
      <c r="P182" s="197">
        <f t="shared" si="0"/>
        <v>4.9999999999999996E-2</v>
      </c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spans="1:26" ht="12.75" customHeight="1" x14ac:dyDescent="0.2">
      <c r="A183" s="95"/>
      <c r="B183" s="122"/>
      <c r="C183" s="20" t="s">
        <v>15</v>
      </c>
      <c r="D183" s="143">
        <v>0</v>
      </c>
      <c r="E183" s="143">
        <v>0</v>
      </c>
      <c r="F183" s="143">
        <v>0</v>
      </c>
      <c r="G183" s="143">
        <v>0</v>
      </c>
      <c r="H183" s="144">
        <v>0</v>
      </c>
      <c r="I183" s="144">
        <v>0</v>
      </c>
      <c r="J183" s="144">
        <v>0</v>
      </c>
      <c r="K183" s="144">
        <v>0</v>
      </c>
      <c r="L183" s="153"/>
      <c r="M183" s="153"/>
      <c r="N183" s="153"/>
      <c r="O183" s="168"/>
      <c r="P183" s="197">
        <f t="shared" si="0"/>
        <v>0</v>
      </c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spans="1:26" ht="12.75" customHeight="1" x14ac:dyDescent="0.2">
      <c r="A184" s="95"/>
      <c r="B184" s="176"/>
      <c r="C184" s="177" t="s">
        <v>16</v>
      </c>
      <c r="D184" s="217">
        <v>0.5</v>
      </c>
      <c r="E184" s="217">
        <v>0.5</v>
      </c>
      <c r="F184" s="217">
        <v>0.5</v>
      </c>
      <c r="G184" s="217">
        <v>0.5</v>
      </c>
      <c r="H184" s="218">
        <v>0.5</v>
      </c>
      <c r="I184" s="218">
        <v>0.5</v>
      </c>
      <c r="J184" s="218">
        <v>0.5</v>
      </c>
      <c r="K184" s="218">
        <v>0.5</v>
      </c>
      <c r="L184" s="214"/>
      <c r="M184" s="214"/>
      <c r="N184" s="214"/>
      <c r="O184" s="220"/>
      <c r="P184" s="197">
        <f t="shared" si="0"/>
        <v>0.5</v>
      </c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spans="1:26" ht="12.75" customHeight="1" x14ac:dyDescent="0.2">
      <c r="A185" s="95"/>
      <c r="B185" s="173" t="str">
        <f>B178</f>
        <v>Sophia Toftdahl</v>
      </c>
      <c r="C185" s="174" t="s">
        <v>241</v>
      </c>
      <c r="D185" s="175">
        <f t="shared" ref="D185:K185" si="21">SUM(D178:D184)</f>
        <v>0.75</v>
      </c>
      <c r="E185" s="175">
        <f t="shared" si="21"/>
        <v>0.75</v>
      </c>
      <c r="F185" s="175">
        <f t="shared" si="21"/>
        <v>0.75</v>
      </c>
      <c r="G185" s="175">
        <f t="shared" si="21"/>
        <v>0.75</v>
      </c>
      <c r="H185" s="175">
        <f t="shared" si="21"/>
        <v>0.75</v>
      </c>
      <c r="I185" s="175">
        <f t="shared" si="21"/>
        <v>0.75</v>
      </c>
      <c r="J185" s="175">
        <f t="shared" si="21"/>
        <v>0.75</v>
      </c>
      <c r="K185" s="175">
        <f t="shared" si="21"/>
        <v>0.75</v>
      </c>
      <c r="L185" s="175"/>
      <c r="M185" s="175"/>
      <c r="N185" s="175"/>
      <c r="O185" s="216"/>
      <c r="P185" s="211">
        <f t="shared" si="0"/>
        <v>0.75</v>
      </c>
      <c r="Q185" s="212"/>
      <c r="R185" s="95"/>
      <c r="S185" s="95"/>
      <c r="T185" s="95"/>
      <c r="U185" s="95"/>
      <c r="V185" s="95"/>
      <c r="W185" s="95"/>
      <c r="X185" s="95"/>
      <c r="Y185" s="95"/>
      <c r="Z185" s="95"/>
    </row>
    <row r="186" spans="1:26" ht="12.75" customHeight="1" x14ac:dyDescent="0.2">
      <c r="A186" s="95"/>
      <c r="B186" s="142" t="s">
        <v>364</v>
      </c>
      <c r="C186" s="13" t="s">
        <v>9</v>
      </c>
      <c r="D186" s="157"/>
      <c r="E186" s="157"/>
      <c r="F186" s="157"/>
      <c r="G186" s="157"/>
      <c r="H186" s="169"/>
      <c r="I186" s="169"/>
      <c r="J186" s="169"/>
      <c r="K186" s="169"/>
      <c r="L186" s="123">
        <v>0.3</v>
      </c>
      <c r="M186" s="123">
        <v>0.3</v>
      </c>
      <c r="N186" s="123">
        <v>0.3</v>
      </c>
      <c r="O186" s="120">
        <v>0.3</v>
      </c>
      <c r="P186" s="208">
        <f t="shared" si="0"/>
        <v>0.3</v>
      </c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spans="1:26" ht="12.75" customHeight="1" x14ac:dyDescent="0.2">
      <c r="A187" s="95"/>
      <c r="B187" s="19" t="s">
        <v>284</v>
      </c>
      <c r="C187" s="20" t="s">
        <v>11</v>
      </c>
      <c r="D187" s="157"/>
      <c r="E187" s="157"/>
      <c r="F187" s="157"/>
      <c r="G187" s="157"/>
      <c r="H187" s="169"/>
      <c r="I187" s="169"/>
      <c r="J187" s="169"/>
      <c r="K187" s="169"/>
      <c r="L187" s="123">
        <v>0</v>
      </c>
      <c r="M187" s="123">
        <v>0</v>
      </c>
      <c r="N187" s="123">
        <v>0</v>
      </c>
      <c r="O187" s="120">
        <v>0</v>
      </c>
      <c r="P187" s="197">
        <f t="shared" si="0"/>
        <v>0</v>
      </c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spans="1:26" ht="12.75" customHeight="1" x14ac:dyDescent="0.2">
      <c r="A188" s="95"/>
      <c r="B188" s="122"/>
      <c r="C188" s="20" t="s">
        <v>12</v>
      </c>
      <c r="D188" s="157"/>
      <c r="E188" s="157"/>
      <c r="F188" s="157"/>
      <c r="G188" s="157"/>
      <c r="H188" s="169"/>
      <c r="I188" s="169"/>
      <c r="J188" s="169"/>
      <c r="K188" s="169"/>
      <c r="L188" s="123">
        <v>0</v>
      </c>
      <c r="M188" s="123">
        <v>0</v>
      </c>
      <c r="N188" s="123">
        <v>0</v>
      </c>
      <c r="O188" s="120">
        <v>0</v>
      </c>
      <c r="P188" s="197">
        <f t="shared" si="0"/>
        <v>0</v>
      </c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spans="1:26" ht="12.75" customHeight="1" x14ac:dyDescent="0.2">
      <c r="A189" s="95"/>
      <c r="B189" s="122"/>
      <c r="C189" s="20" t="s">
        <v>13</v>
      </c>
      <c r="D189" s="157"/>
      <c r="E189" s="157"/>
      <c r="F189" s="157"/>
      <c r="G189" s="157"/>
      <c r="H189" s="169"/>
      <c r="I189" s="169"/>
      <c r="J189" s="169"/>
      <c r="K189" s="169"/>
      <c r="L189" s="123">
        <v>0</v>
      </c>
      <c r="M189" s="123">
        <v>0</v>
      </c>
      <c r="N189" s="123">
        <v>0</v>
      </c>
      <c r="O189" s="120">
        <v>0</v>
      </c>
      <c r="P189" s="197">
        <f t="shared" si="0"/>
        <v>0</v>
      </c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spans="1:26" ht="12.75" customHeight="1" x14ac:dyDescent="0.2">
      <c r="A190" s="95"/>
      <c r="B190" s="122"/>
      <c r="C190" s="20" t="s">
        <v>14</v>
      </c>
      <c r="D190" s="157"/>
      <c r="E190" s="157"/>
      <c r="F190" s="157"/>
      <c r="G190" s="157"/>
      <c r="H190" s="169"/>
      <c r="I190" s="169"/>
      <c r="J190" s="169"/>
      <c r="K190" s="169"/>
      <c r="L190" s="123">
        <v>0.05</v>
      </c>
      <c r="M190" s="123">
        <v>0.05</v>
      </c>
      <c r="N190" s="123">
        <v>0.05</v>
      </c>
      <c r="O190" s="120">
        <v>0.05</v>
      </c>
      <c r="P190" s="197">
        <f t="shared" si="0"/>
        <v>0.05</v>
      </c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spans="1:26" ht="12.75" customHeight="1" x14ac:dyDescent="0.2">
      <c r="A191" s="95"/>
      <c r="B191" s="122"/>
      <c r="C191" s="20" t="s">
        <v>15</v>
      </c>
      <c r="D191" s="157"/>
      <c r="E191" s="157"/>
      <c r="F191" s="157"/>
      <c r="G191" s="157"/>
      <c r="H191" s="169"/>
      <c r="I191" s="169"/>
      <c r="J191" s="169"/>
      <c r="K191" s="169"/>
      <c r="L191" s="123">
        <v>0</v>
      </c>
      <c r="M191" s="123">
        <v>0</v>
      </c>
      <c r="N191" s="123">
        <v>0</v>
      </c>
      <c r="O191" s="120">
        <v>0</v>
      </c>
      <c r="P191" s="197">
        <f t="shared" si="0"/>
        <v>0</v>
      </c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spans="1:26" ht="12.75" customHeight="1" x14ac:dyDescent="0.2">
      <c r="A192" s="95"/>
      <c r="B192" s="122"/>
      <c r="C192" s="20" t="s">
        <v>16</v>
      </c>
      <c r="D192" s="157"/>
      <c r="E192" s="157"/>
      <c r="F192" s="157"/>
      <c r="G192" s="157"/>
      <c r="H192" s="169"/>
      <c r="I192" s="169"/>
      <c r="J192" s="169"/>
      <c r="K192" s="169"/>
      <c r="L192" s="123">
        <v>0.2</v>
      </c>
      <c r="M192" s="123">
        <v>0.2</v>
      </c>
      <c r="N192" s="123">
        <v>0.2</v>
      </c>
      <c r="O192" s="120">
        <v>0.2</v>
      </c>
      <c r="P192" s="197">
        <f t="shared" si="0"/>
        <v>0.2</v>
      </c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spans="1:26" ht="12.75" customHeight="1" x14ac:dyDescent="0.2">
      <c r="A193" s="95"/>
      <c r="B193" s="146" t="str">
        <f>B186</f>
        <v>Rachel Walters</v>
      </c>
      <c r="C193" s="147" t="s">
        <v>241</v>
      </c>
      <c r="D193" s="148"/>
      <c r="E193" s="148"/>
      <c r="F193" s="148"/>
      <c r="G193" s="148"/>
      <c r="H193" s="148"/>
      <c r="I193" s="148"/>
      <c r="J193" s="148"/>
      <c r="K193" s="148"/>
      <c r="L193" s="148">
        <f t="shared" ref="L193:O193" si="22">SUM(L186:L192)</f>
        <v>0.55000000000000004</v>
      </c>
      <c r="M193" s="148">
        <f t="shared" si="22"/>
        <v>0.55000000000000004</v>
      </c>
      <c r="N193" s="148">
        <f t="shared" si="22"/>
        <v>0.55000000000000004</v>
      </c>
      <c r="O193" s="209">
        <f t="shared" si="22"/>
        <v>0.55000000000000004</v>
      </c>
      <c r="P193" s="210">
        <f t="shared" si="0"/>
        <v>0.55000000000000004</v>
      </c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spans="1:26" ht="12.75" customHeight="1" x14ac:dyDescent="0.2">
      <c r="A194" s="95"/>
      <c r="B194" s="111" t="s">
        <v>365</v>
      </c>
      <c r="C194" s="36" t="s">
        <v>9</v>
      </c>
      <c r="D194" s="166"/>
      <c r="E194" s="166"/>
      <c r="F194" s="166"/>
      <c r="G194" s="149">
        <v>0.3</v>
      </c>
      <c r="H194" s="150">
        <v>0.3</v>
      </c>
      <c r="I194" s="150">
        <v>0</v>
      </c>
      <c r="J194" s="150">
        <v>0</v>
      </c>
      <c r="K194" s="167"/>
      <c r="L194" s="151"/>
      <c r="M194" s="151"/>
      <c r="N194" s="151"/>
      <c r="O194" s="165"/>
      <c r="P194" s="196">
        <f t="shared" si="0"/>
        <v>0.15</v>
      </c>
      <c r="Q194" s="195"/>
      <c r="R194" s="95"/>
      <c r="S194" s="95"/>
      <c r="T194" s="95"/>
      <c r="U194" s="95"/>
      <c r="V194" s="95"/>
      <c r="W194" s="95"/>
      <c r="X194" s="95"/>
      <c r="Y194" s="95"/>
      <c r="Z194" s="95"/>
    </row>
    <row r="195" spans="1:26" ht="12.75" customHeight="1" x14ac:dyDescent="0.2">
      <c r="A195" s="95"/>
      <c r="B195" s="19" t="s">
        <v>281</v>
      </c>
      <c r="C195" s="20" t="s">
        <v>11</v>
      </c>
      <c r="D195" s="157"/>
      <c r="E195" s="157"/>
      <c r="F195" s="157"/>
      <c r="G195" s="143">
        <v>0</v>
      </c>
      <c r="H195" s="144">
        <v>0</v>
      </c>
      <c r="I195" s="144">
        <v>0</v>
      </c>
      <c r="J195" s="144">
        <v>0</v>
      </c>
      <c r="K195" s="169"/>
      <c r="L195" s="153"/>
      <c r="M195" s="153"/>
      <c r="N195" s="153"/>
      <c r="O195" s="168"/>
      <c r="P195" s="197">
        <f t="shared" si="0"/>
        <v>0</v>
      </c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spans="1:26" ht="12.75" customHeight="1" x14ac:dyDescent="0.2">
      <c r="A196" s="95"/>
      <c r="B196" s="122"/>
      <c r="C196" s="20" t="s">
        <v>12</v>
      </c>
      <c r="D196" s="157"/>
      <c r="E196" s="157"/>
      <c r="F196" s="157"/>
      <c r="G196" s="143">
        <v>0</v>
      </c>
      <c r="H196" s="144">
        <v>0</v>
      </c>
      <c r="I196" s="144">
        <v>0</v>
      </c>
      <c r="J196" s="144">
        <v>0</v>
      </c>
      <c r="K196" s="169"/>
      <c r="L196" s="153"/>
      <c r="M196" s="153"/>
      <c r="N196" s="153"/>
      <c r="O196" s="168"/>
      <c r="P196" s="197">
        <f t="shared" si="0"/>
        <v>0</v>
      </c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spans="1:26" ht="12.75" customHeight="1" x14ac:dyDescent="0.2">
      <c r="A197" s="95"/>
      <c r="B197" s="122"/>
      <c r="C197" s="20" t="s">
        <v>13</v>
      </c>
      <c r="D197" s="157"/>
      <c r="E197" s="157"/>
      <c r="F197" s="157"/>
      <c r="G197" s="143">
        <v>0</v>
      </c>
      <c r="H197" s="144">
        <v>0</v>
      </c>
      <c r="I197" s="144">
        <v>0</v>
      </c>
      <c r="J197" s="144">
        <v>0</v>
      </c>
      <c r="K197" s="169"/>
      <c r="L197" s="153"/>
      <c r="M197" s="153"/>
      <c r="N197" s="153"/>
      <c r="O197" s="168"/>
      <c r="P197" s="197">
        <f t="shared" si="0"/>
        <v>0</v>
      </c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spans="1:26" ht="12.75" customHeight="1" x14ac:dyDescent="0.2">
      <c r="A198" s="95"/>
      <c r="B198" s="122"/>
      <c r="C198" s="20" t="s">
        <v>14</v>
      </c>
      <c r="D198" s="157"/>
      <c r="E198" s="157"/>
      <c r="F198" s="157"/>
      <c r="G198" s="143">
        <v>0.05</v>
      </c>
      <c r="H198" s="144">
        <v>0.05</v>
      </c>
      <c r="I198" s="144">
        <v>0.05</v>
      </c>
      <c r="J198" s="144">
        <v>0.05</v>
      </c>
      <c r="K198" s="169"/>
      <c r="L198" s="153"/>
      <c r="M198" s="153"/>
      <c r="N198" s="153"/>
      <c r="O198" s="168"/>
      <c r="P198" s="197">
        <f t="shared" si="0"/>
        <v>0.05</v>
      </c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spans="1:26" ht="12.75" customHeight="1" x14ac:dyDescent="0.2">
      <c r="A199" s="95"/>
      <c r="B199" s="122"/>
      <c r="C199" s="20" t="s">
        <v>15</v>
      </c>
      <c r="D199" s="157"/>
      <c r="E199" s="157"/>
      <c r="F199" s="157"/>
      <c r="G199" s="143">
        <v>0</v>
      </c>
      <c r="H199" s="144">
        <v>0</v>
      </c>
      <c r="I199" s="144">
        <v>0</v>
      </c>
      <c r="J199" s="144">
        <v>0</v>
      </c>
      <c r="K199" s="169"/>
      <c r="L199" s="153"/>
      <c r="M199" s="153"/>
      <c r="N199" s="153"/>
      <c r="O199" s="168"/>
      <c r="P199" s="197">
        <f t="shared" si="0"/>
        <v>0</v>
      </c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spans="1:26" ht="12.75" customHeight="1" x14ac:dyDescent="0.2">
      <c r="A200" s="95"/>
      <c r="B200" s="122"/>
      <c r="C200" s="20" t="s">
        <v>16</v>
      </c>
      <c r="D200" s="157"/>
      <c r="E200" s="157"/>
      <c r="F200" s="157"/>
      <c r="G200" s="143">
        <v>0.5</v>
      </c>
      <c r="H200" s="144">
        <v>0.5</v>
      </c>
      <c r="I200" s="144">
        <v>0.5</v>
      </c>
      <c r="J200" s="144">
        <v>0.5</v>
      </c>
      <c r="K200" s="169"/>
      <c r="L200" s="153"/>
      <c r="M200" s="153"/>
      <c r="N200" s="153"/>
      <c r="O200" s="168"/>
      <c r="P200" s="197">
        <f t="shared" si="0"/>
        <v>0.5</v>
      </c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spans="1:26" ht="12.75" customHeight="1" x14ac:dyDescent="0.2">
      <c r="A201" s="95"/>
      <c r="B201" s="141" t="str">
        <f>B194</f>
        <v>Tobias Wehr-Candler</v>
      </c>
      <c r="C201" s="131" t="s">
        <v>241</v>
      </c>
      <c r="D201" s="132"/>
      <c r="E201" s="132"/>
      <c r="F201" s="132"/>
      <c r="G201" s="132">
        <f t="shared" ref="G201:J201" si="23">SUM(G194:G200)</f>
        <v>0.85</v>
      </c>
      <c r="H201" s="132">
        <f t="shared" si="23"/>
        <v>0.85</v>
      </c>
      <c r="I201" s="132">
        <f t="shared" si="23"/>
        <v>0.55000000000000004</v>
      </c>
      <c r="J201" s="132">
        <f t="shared" si="23"/>
        <v>0.55000000000000004</v>
      </c>
      <c r="K201" s="132"/>
      <c r="L201" s="132"/>
      <c r="M201" s="132"/>
      <c r="N201" s="132"/>
      <c r="O201" s="198"/>
      <c r="P201" s="211">
        <f t="shared" si="0"/>
        <v>0.7</v>
      </c>
      <c r="Q201" s="212"/>
      <c r="R201" s="95"/>
      <c r="S201" s="95"/>
      <c r="T201" s="95"/>
      <c r="U201" s="95"/>
      <c r="V201" s="95"/>
      <c r="W201" s="95"/>
      <c r="X201" s="95"/>
      <c r="Y201" s="95"/>
      <c r="Z201" s="95"/>
    </row>
    <row r="202" spans="1:26" ht="12.75" customHeight="1" x14ac:dyDescent="0.2">
      <c r="A202" s="95"/>
      <c r="B202" s="111" t="s">
        <v>366</v>
      </c>
      <c r="C202" s="36" t="s">
        <v>9</v>
      </c>
      <c r="D202" s="149">
        <v>0</v>
      </c>
      <c r="E202" s="149">
        <v>0</v>
      </c>
      <c r="F202" s="149">
        <v>0</v>
      </c>
      <c r="G202" s="149">
        <v>0</v>
      </c>
      <c r="H202" s="166"/>
      <c r="I202" s="166"/>
      <c r="J202" s="166"/>
      <c r="K202" s="166"/>
      <c r="L202" s="166"/>
      <c r="M202" s="166"/>
      <c r="N202" s="166"/>
      <c r="O202" s="221"/>
      <c r="P202" s="196">
        <f t="shared" si="0"/>
        <v>0</v>
      </c>
      <c r="Q202" s="195"/>
      <c r="R202" s="95"/>
      <c r="S202" s="95"/>
      <c r="T202" s="95"/>
      <c r="U202" s="95"/>
      <c r="V202" s="95"/>
      <c r="W202" s="95"/>
      <c r="X202" s="95"/>
      <c r="Y202" s="95"/>
      <c r="Z202" s="95"/>
    </row>
    <row r="203" spans="1:26" ht="12.75" customHeight="1" x14ac:dyDescent="0.2">
      <c r="A203" s="95"/>
      <c r="B203" s="19" t="s">
        <v>280</v>
      </c>
      <c r="C203" s="20" t="s">
        <v>11</v>
      </c>
      <c r="D203" s="143">
        <v>0.3</v>
      </c>
      <c r="E203" s="143">
        <v>0.3</v>
      </c>
      <c r="F203" s="143">
        <v>0.3</v>
      </c>
      <c r="G203" s="143">
        <v>0.3</v>
      </c>
      <c r="H203" s="157"/>
      <c r="I203" s="157"/>
      <c r="J203" s="157"/>
      <c r="K203" s="157"/>
      <c r="L203" s="157"/>
      <c r="M203" s="157"/>
      <c r="N203" s="157"/>
      <c r="O203" s="222"/>
      <c r="P203" s="197">
        <f t="shared" si="0"/>
        <v>0.3</v>
      </c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spans="1:26" ht="12.75" customHeight="1" x14ac:dyDescent="0.2">
      <c r="A204" s="95"/>
      <c r="B204" s="122"/>
      <c r="C204" s="20" t="s">
        <v>12</v>
      </c>
      <c r="D204" s="143">
        <v>0.05</v>
      </c>
      <c r="E204" s="143">
        <v>0.05</v>
      </c>
      <c r="F204" s="143">
        <v>0.05</v>
      </c>
      <c r="G204" s="143">
        <v>0.05</v>
      </c>
      <c r="H204" s="157"/>
      <c r="I204" s="157"/>
      <c r="J204" s="157"/>
      <c r="K204" s="157"/>
      <c r="L204" s="157"/>
      <c r="M204" s="157"/>
      <c r="N204" s="157"/>
      <c r="O204" s="222"/>
      <c r="P204" s="197">
        <f t="shared" si="0"/>
        <v>0.05</v>
      </c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spans="1:26" ht="12.75" customHeight="1" x14ac:dyDescent="0.2">
      <c r="A205" s="95"/>
      <c r="B205" s="122"/>
      <c r="C205" s="20" t="s">
        <v>13</v>
      </c>
      <c r="D205" s="143">
        <v>0.2</v>
      </c>
      <c r="E205" s="143">
        <v>0.2</v>
      </c>
      <c r="F205" s="143">
        <v>0.2</v>
      </c>
      <c r="G205" s="143">
        <v>0.2</v>
      </c>
      <c r="H205" s="157"/>
      <c r="I205" s="157"/>
      <c r="J205" s="157"/>
      <c r="K205" s="157"/>
      <c r="L205" s="157"/>
      <c r="M205" s="157"/>
      <c r="N205" s="157"/>
      <c r="O205" s="222"/>
      <c r="P205" s="197">
        <f t="shared" si="0"/>
        <v>0.2</v>
      </c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spans="1:26" ht="12.75" customHeight="1" x14ac:dyDescent="0.2">
      <c r="A206" s="95"/>
      <c r="B206" s="122"/>
      <c r="C206" s="20" t="s">
        <v>14</v>
      </c>
      <c r="D206" s="143">
        <v>0.05</v>
      </c>
      <c r="E206" s="143">
        <v>0.05</v>
      </c>
      <c r="F206" s="143">
        <v>0.05</v>
      </c>
      <c r="G206" s="143">
        <v>0.05</v>
      </c>
      <c r="H206" s="157"/>
      <c r="I206" s="157"/>
      <c r="J206" s="157"/>
      <c r="K206" s="157"/>
      <c r="L206" s="157"/>
      <c r="M206" s="157"/>
      <c r="N206" s="157"/>
      <c r="O206" s="222"/>
      <c r="P206" s="197">
        <f t="shared" si="0"/>
        <v>0.05</v>
      </c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spans="1:26" ht="12.75" customHeight="1" x14ac:dyDescent="0.2">
      <c r="A207" s="95"/>
      <c r="B207" s="122"/>
      <c r="C207" s="20" t="s">
        <v>15</v>
      </c>
      <c r="D207" s="143">
        <v>0.05</v>
      </c>
      <c r="E207" s="143">
        <v>0.05</v>
      </c>
      <c r="F207" s="143">
        <v>0.05</v>
      </c>
      <c r="G207" s="143">
        <v>0.05</v>
      </c>
      <c r="H207" s="157"/>
      <c r="I207" s="157"/>
      <c r="J207" s="157"/>
      <c r="K207" s="157"/>
      <c r="L207" s="157"/>
      <c r="M207" s="157"/>
      <c r="N207" s="157"/>
      <c r="O207" s="222"/>
      <c r="P207" s="197">
        <f t="shared" si="0"/>
        <v>0.05</v>
      </c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spans="1:26" ht="12.75" customHeight="1" x14ac:dyDescent="0.2">
      <c r="A208" s="95"/>
      <c r="B208" s="122"/>
      <c r="C208" s="20" t="s">
        <v>16</v>
      </c>
      <c r="D208" s="143">
        <v>0.25</v>
      </c>
      <c r="E208" s="143">
        <v>0.25</v>
      </c>
      <c r="F208" s="143">
        <v>0.25</v>
      </c>
      <c r="G208" s="143">
        <v>0.25</v>
      </c>
      <c r="H208" s="157"/>
      <c r="I208" s="157"/>
      <c r="J208" s="157"/>
      <c r="K208" s="157"/>
      <c r="L208" s="157"/>
      <c r="M208" s="157"/>
      <c r="N208" s="157"/>
      <c r="O208" s="222"/>
      <c r="P208" s="197">
        <f t="shared" si="0"/>
        <v>0.25</v>
      </c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spans="1:26" ht="12.75" customHeight="1" x14ac:dyDescent="0.2">
      <c r="A209" s="95"/>
      <c r="B209" s="138" t="s">
        <v>367</v>
      </c>
      <c r="C209" s="131" t="s">
        <v>241</v>
      </c>
      <c r="D209" s="132">
        <f t="shared" ref="D209:G209" si="24">SUM(D202:D208)</f>
        <v>0.90000000000000013</v>
      </c>
      <c r="E209" s="132">
        <f t="shared" si="24"/>
        <v>0.90000000000000013</v>
      </c>
      <c r="F209" s="132">
        <f t="shared" si="24"/>
        <v>0.90000000000000013</v>
      </c>
      <c r="G209" s="132">
        <f t="shared" si="24"/>
        <v>0.90000000000000013</v>
      </c>
      <c r="H209" s="132"/>
      <c r="I209" s="132"/>
      <c r="J209" s="132"/>
      <c r="K209" s="132"/>
      <c r="L209" s="132"/>
      <c r="M209" s="132"/>
      <c r="N209" s="132"/>
      <c r="O209" s="198"/>
      <c r="P209" s="132">
        <f>SUM(D209:O209)/12</f>
        <v>0.30000000000000004</v>
      </c>
      <c r="Q209" s="212"/>
      <c r="R209" s="95"/>
      <c r="S209" s="95"/>
      <c r="T209" s="95"/>
      <c r="U209" s="95"/>
      <c r="V209" s="95"/>
      <c r="W209" s="95"/>
      <c r="X209" s="95"/>
      <c r="Y209" s="95"/>
      <c r="Z209" s="95"/>
    </row>
    <row r="210" spans="1:26" ht="12.75" customHeight="1" x14ac:dyDescent="0.2">
      <c r="A210" s="95"/>
      <c r="B210" s="95"/>
      <c r="C210" s="4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spans="1:26" ht="12.75" hidden="1" customHeight="1" x14ac:dyDescent="0.2">
      <c r="A211" s="95"/>
      <c r="B211" s="243" t="s">
        <v>295</v>
      </c>
      <c r="C211" s="237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spans="1:26" ht="12.75" hidden="1" customHeight="1" x14ac:dyDescent="0.2">
      <c r="A212" s="95"/>
      <c r="B212" s="240" t="s">
        <v>297</v>
      </c>
      <c r="C212" s="237"/>
      <c r="D212" s="95"/>
      <c r="E212" s="186" t="s">
        <v>298</v>
      </c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spans="1:26" ht="12.75" hidden="1" customHeight="1" x14ac:dyDescent="0.2">
      <c r="A213" s="95"/>
      <c r="B213" s="236" t="s">
        <v>299</v>
      </c>
      <c r="C213" s="237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spans="1:26" ht="12.75" hidden="1" customHeight="1" x14ac:dyDescent="0.2">
      <c r="A214" s="95"/>
      <c r="B214" s="240" t="s">
        <v>11</v>
      </c>
      <c r="C214" s="237"/>
      <c r="D214" s="95"/>
      <c r="E214" s="95" t="s">
        <v>300</v>
      </c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spans="1:26" ht="12.75" hidden="1" customHeight="1" x14ac:dyDescent="0.2">
      <c r="A215" s="95"/>
      <c r="B215" s="236" t="s">
        <v>301</v>
      </c>
      <c r="C215" s="237"/>
      <c r="D215" s="95"/>
      <c r="E215" s="95" t="s">
        <v>302</v>
      </c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spans="1:26" ht="12.75" hidden="1" customHeight="1" x14ac:dyDescent="0.2">
      <c r="A216" s="95"/>
      <c r="B216" s="236" t="s">
        <v>303</v>
      </c>
      <c r="C216" s="237"/>
      <c r="D216" s="95"/>
      <c r="E216" s="95" t="s">
        <v>304</v>
      </c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spans="1:26" ht="12.75" hidden="1" customHeight="1" x14ac:dyDescent="0.2">
      <c r="A217" s="95"/>
      <c r="B217" s="236" t="s">
        <v>305</v>
      </c>
      <c r="C217" s="237"/>
      <c r="D217" s="95"/>
      <c r="E217" s="95" t="s">
        <v>306</v>
      </c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spans="1:26" ht="12.75" hidden="1" customHeight="1" x14ac:dyDescent="0.2">
      <c r="A218" s="95"/>
      <c r="B218" s="240" t="s">
        <v>12</v>
      </c>
      <c r="C218" s="237"/>
      <c r="D218" s="95"/>
      <c r="E218" s="95" t="s">
        <v>307</v>
      </c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spans="1:26" ht="12.75" hidden="1" customHeight="1" x14ac:dyDescent="0.2">
      <c r="A219" s="95"/>
      <c r="B219" s="236" t="s">
        <v>308</v>
      </c>
      <c r="C219" s="237"/>
      <c r="D219" s="95"/>
      <c r="E219" s="95" t="s">
        <v>309</v>
      </c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spans="1:26" ht="12.75" hidden="1" customHeight="1" x14ac:dyDescent="0.2">
      <c r="A220" s="95"/>
      <c r="B220" s="236" t="s">
        <v>310</v>
      </c>
      <c r="C220" s="237"/>
      <c r="D220" s="95"/>
      <c r="E220" s="95" t="s">
        <v>311</v>
      </c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spans="1:26" ht="12.75" hidden="1" customHeight="1" x14ac:dyDescent="0.2">
      <c r="A221" s="95"/>
      <c r="B221" s="240" t="s">
        <v>13</v>
      </c>
      <c r="C221" s="237"/>
      <c r="D221" s="95"/>
      <c r="E221" s="95" t="s">
        <v>312</v>
      </c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spans="1:26" ht="12.75" hidden="1" customHeight="1" x14ac:dyDescent="0.2">
      <c r="A222" s="95"/>
      <c r="B222" s="236" t="s">
        <v>313</v>
      </c>
      <c r="C222" s="237"/>
      <c r="D222" s="95"/>
      <c r="E222" s="95" t="s">
        <v>314</v>
      </c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spans="1:26" ht="12.75" hidden="1" customHeight="1" x14ac:dyDescent="0.2">
      <c r="A223" s="95"/>
      <c r="B223" s="236" t="s">
        <v>315</v>
      </c>
      <c r="C223" s="237"/>
      <c r="D223" s="95"/>
      <c r="E223" s="95" t="s">
        <v>316</v>
      </c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spans="1:26" ht="12.75" hidden="1" customHeight="1" x14ac:dyDescent="0.2">
      <c r="A224" s="95"/>
      <c r="B224" s="236" t="s">
        <v>317</v>
      </c>
      <c r="C224" s="237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spans="1:26" ht="12.75" hidden="1" customHeight="1" x14ac:dyDescent="0.2">
      <c r="A225" s="95"/>
      <c r="B225" s="240" t="s">
        <v>14</v>
      </c>
      <c r="C225" s="237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spans="1:26" ht="12.75" hidden="1" customHeight="1" x14ac:dyDescent="0.2">
      <c r="A226" s="95"/>
      <c r="B226" s="236" t="s">
        <v>318</v>
      </c>
      <c r="C226" s="237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spans="1:26" ht="12.75" hidden="1" customHeight="1" x14ac:dyDescent="0.2">
      <c r="A227" s="95"/>
      <c r="B227" s="236" t="s">
        <v>319</v>
      </c>
      <c r="C227" s="237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spans="1:26" ht="12.75" hidden="1" customHeight="1" x14ac:dyDescent="0.2">
      <c r="A228" s="95"/>
      <c r="B228" s="236" t="s">
        <v>320</v>
      </c>
      <c r="C228" s="237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spans="1:26" ht="12.75" hidden="1" customHeight="1" x14ac:dyDescent="0.2">
      <c r="A229" s="95"/>
      <c r="B229" s="236" t="s">
        <v>321</v>
      </c>
      <c r="C229" s="237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spans="1:26" ht="12.75" hidden="1" customHeight="1" x14ac:dyDescent="0.2">
      <c r="A230" s="95"/>
      <c r="B230" s="240" t="s">
        <v>15</v>
      </c>
      <c r="C230" s="237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spans="1:26" ht="12.75" hidden="1" customHeight="1" x14ac:dyDescent="0.2">
      <c r="A231" s="95"/>
      <c r="B231" s="236" t="s">
        <v>322</v>
      </c>
      <c r="C231" s="237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spans="1:26" ht="12.75" hidden="1" customHeight="1" x14ac:dyDescent="0.2">
      <c r="A232" s="95"/>
      <c r="B232" s="236" t="s">
        <v>323</v>
      </c>
      <c r="C232" s="237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spans="1:26" ht="12.75" hidden="1" customHeight="1" x14ac:dyDescent="0.2">
      <c r="A233" s="95"/>
      <c r="B233" s="186" t="s">
        <v>324</v>
      </c>
      <c r="C233" s="238"/>
      <c r="D233" s="239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spans="1:26" ht="12.75" hidden="1" customHeight="1" x14ac:dyDescent="0.2">
      <c r="A234" s="95"/>
      <c r="B234" s="95" t="s">
        <v>325</v>
      </c>
      <c r="C234" s="4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spans="1:26" ht="12.75" hidden="1" customHeight="1" x14ac:dyDescent="0.2">
      <c r="A235" s="95"/>
      <c r="B235" s="95" t="s">
        <v>326</v>
      </c>
      <c r="C235" s="4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spans="1:26" ht="12.75" hidden="1" customHeight="1" x14ac:dyDescent="0.2">
      <c r="A236" s="95"/>
      <c r="B236" s="95" t="s">
        <v>327</v>
      </c>
      <c r="C236" s="4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spans="1:26" ht="12.75" hidden="1" customHeight="1" x14ac:dyDescent="0.2">
      <c r="A237" s="95"/>
      <c r="B237" s="95" t="s">
        <v>328</v>
      </c>
      <c r="C237" s="4" t="s">
        <v>329</v>
      </c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spans="1:26" ht="12.75" hidden="1" customHeight="1" x14ac:dyDescent="0.2">
      <c r="A238" s="95"/>
      <c r="B238" s="186" t="s">
        <v>330</v>
      </c>
      <c r="C238" s="4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spans="1:26" ht="12.75" hidden="1" customHeight="1" x14ac:dyDescent="0.2">
      <c r="A239" s="95"/>
      <c r="B239" s="95" t="s">
        <v>331</v>
      </c>
      <c r="C239" s="4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spans="1:26" ht="12.75" hidden="1" customHeight="1" x14ac:dyDescent="0.2">
      <c r="A240" s="95"/>
      <c r="B240" s="95" t="s">
        <v>332</v>
      </c>
      <c r="C240" s="4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spans="1:26" ht="12.75" hidden="1" customHeight="1" x14ac:dyDescent="0.2">
      <c r="A241" s="95"/>
      <c r="B241" s="95" t="s">
        <v>333</v>
      </c>
      <c r="C241" s="4" t="s">
        <v>329</v>
      </c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spans="1:26" ht="12.75" hidden="1" customHeight="1" x14ac:dyDescent="0.2">
      <c r="A242" s="95"/>
      <c r="B242" s="186" t="s">
        <v>334</v>
      </c>
      <c r="C242" s="4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spans="1:26" ht="12.75" hidden="1" customHeight="1" x14ac:dyDescent="0.2">
      <c r="A243" s="95"/>
      <c r="B243" s="95" t="s">
        <v>335</v>
      </c>
      <c r="C243" s="4"/>
      <c r="D243" s="95" t="s">
        <v>336</v>
      </c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spans="1:26" ht="12.75" hidden="1" customHeight="1" x14ac:dyDescent="0.2">
      <c r="A244" s="95"/>
      <c r="B244" s="95" t="s">
        <v>337</v>
      </c>
      <c r="C244" s="4"/>
      <c r="D244" s="95" t="s">
        <v>336</v>
      </c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spans="1:26" ht="12.75" hidden="1" customHeight="1" x14ac:dyDescent="0.2">
      <c r="A245" s="95"/>
      <c r="B245" s="95" t="s">
        <v>338</v>
      </c>
      <c r="C245" s="4"/>
      <c r="D245" s="95" t="s">
        <v>336</v>
      </c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spans="1:26" ht="12.75" hidden="1" customHeight="1" x14ac:dyDescent="0.2">
      <c r="A246" s="95"/>
      <c r="B246" s="95" t="s">
        <v>339</v>
      </c>
      <c r="C246" s="4"/>
      <c r="D246" s="95" t="s">
        <v>340</v>
      </c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spans="1:26" ht="12.75" hidden="1" customHeight="1" x14ac:dyDescent="0.2">
      <c r="A247" s="95"/>
      <c r="B247" s="95" t="s">
        <v>341</v>
      </c>
      <c r="C247" s="4" t="s">
        <v>329</v>
      </c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spans="1:26" ht="12.75" hidden="1" customHeight="1" x14ac:dyDescent="0.2">
      <c r="A248" s="95"/>
      <c r="B248" s="186" t="s">
        <v>342</v>
      </c>
      <c r="C248" s="4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spans="1:26" ht="12.75" hidden="1" customHeight="1" x14ac:dyDescent="0.2">
      <c r="A249" s="95"/>
      <c r="B249" s="95" t="s">
        <v>343</v>
      </c>
      <c r="C249" s="4" t="s">
        <v>329</v>
      </c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spans="1:26" ht="12.75" hidden="1" customHeight="1" x14ac:dyDescent="0.2">
      <c r="A250" s="95"/>
      <c r="B250" s="95" t="s">
        <v>344</v>
      </c>
      <c r="C250" s="4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spans="1:26" ht="12.75" customHeight="1" x14ac:dyDescent="0.2">
      <c r="A251" s="95"/>
      <c r="B251" s="95"/>
      <c r="C251" s="4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spans="1:26" ht="12.75" customHeight="1" x14ac:dyDescent="0.2">
      <c r="A252" s="95"/>
      <c r="B252" s="95"/>
      <c r="C252" s="187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spans="1:26" ht="12.75" customHeight="1" x14ac:dyDescent="0.2">
      <c r="A253" s="95"/>
      <c r="B253" s="95"/>
      <c r="C253" s="4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spans="1:26" ht="12.75" customHeight="1" x14ac:dyDescent="0.2">
      <c r="A254" s="95"/>
      <c r="B254" s="95"/>
      <c r="C254" s="4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spans="1:26" ht="12.75" customHeight="1" x14ac:dyDescent="0.2">
      <c r="A255" s="95"/>
      <c r="B255" s="95"/>
      <c r="C255" s="4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spans="1:26" ht="12.75" customHeight="1" x14ac:dyDescent="0.2">
      <c r="A256" s="95"/>
      <c r="B256" s="95"/>
      <c r="C256" s="4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spans="1:26" ht="12.75" customHeight="1" x14ac:dyDescent="0.2">
      <c r="A257" s="95"/>
      <c r="B257" s="95"/>
      <c r="C257" s="4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spans="1:26" ht="12.75" customHeight="1" x14ac:dyDescent="0.2">
      <c r="A258" s="95"/>
      <c r="B258" s="95"/>
      <c r="C258" s="4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spans="1:26" ht="12.75" customHeight="1" x14ac:dyDescent="0.2">
      <c r="A259" s="95"/>
      <c r="B259" s="95"/>
      <c r="C259" s="4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spans="1:26" ht="12.75" customHeight="1" x14ac:dyDescent="0.2">
      <c r="A260" s="95"/>
      <c r="B260" s="95"/>
      <c r="C260" s="4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spans="1:26" ht="12.75" customHeight="1" x14ac:dyDescent="0.2">
      <c r="A261" s="95"/>
      <c r="B261" s="95"/>
      <c r="C261" s="4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spans="1:26" ht="12.75" customHeight="1" x14ac:dyDescent="0.2">
      <c r="A262" s="95"/>
      <c r="B262" s="95"/>
      <c r="C262" s="4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spans="1:26" ht="12.75" customHeight="1" x14ac:dyDescent="0.2">
      <c r="A263" s="95"/>
      <c r="B263" s="95"/>
      <c r="C263" s="4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spans="1:26" ht="12.75" customHeight="1" x14ac:dyDescent="0.2">
      <c r="A264" s="95"/>
      <c r="B264" s="95"/>
      <c r="C264" s="4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spans="1:26" ht="12.75" customHeight="1" x14ac:dyDescent="0.2">
      <c r="A265" s="95"/>
      <c r="B265" s="95"/>
      <c r="C265" s="4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spans="1:26" ht="12.75" customHeight="1" x14ac:dyDescent="0.2">
      <c r="A266" s="95"/>
      <c r="B266" s="95"/>
      <c r="C266" s="4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spans="1:26" ht="12.75" customHeight="1" x14ac:dyDescent="0.2">
      <c r="A267" s="95"/>
      <c r="B267" s="95"/>
      <c r="C267" s="4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spans="1:26" ht="12.75" customHeight="1" x14ac:dyDescent="0.2">
      <c r="A268" s="95"/>
      <c r="B268" s="95"/>
      <c r="C268" s="4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spans="1:26" ht="12.75" customHeight="1" x14ac:dyDescent="0.2">
      <c r="A269" s="95"/>
      <c r="B269" s="95"/>
      <c r="C269" s="4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spans="1:26" ht="12.75" customHeight="1" x14ac:dyDescent="0.2">
      <c r="A270" s="95"/>
      <c r="B270" s="95"/>
      <c r="C270" s="4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spans="1:26" ht="12.75" customHeight="1" x14ac:dyDescent="0.2">
      <c r="A271" s="95"/>
      <c r="B271" s="95"/>
      <c r="C271" s="4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spans="1:26" ht="12.75" customHeight="1" x14ac:dyDescent="0.2">
      <c r="A272" s="95"/>
      <c r="B272" s="95"/>
      <c r="C272" s="4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spans="1:26" ht="12.75" customHeight="1" x14ac:dyDescent="0.2">
      <c r="A273" s="95"/>
      <c r="B273" s="95"/>
      <c r="C273" s="4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spans="1:26" ht="12.75" customHeight="1" x14ac:dyDescent="0.2">
      <c r="A274" s="95"/>
      <c r="B274" s="95"/>
      <c r="C274" s="4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spans="1:26" ht="12.75" customHeight="1" x14ac:dyDescent="0.2">
      <c r="A275" s="95"/>
      <c r="B275" s="95"/>
      <c r="C275" s="4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spans="1:26" ht="12.75" customHeight="1" x14ac:dyDescent="0.2">
      <c r="A276" s="95"/>
      <c r="B276" s="95"/>
      <c r="C276" s="4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spans="1:26" ht="12.75" customHeight="1" x14ac:dyDescent="0.2">
      <c r="A277" s="95"/>
      <c r="B277" s="95"/>
      <c r="C277" s="4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spans="1:26" ht="12.75" customHeight="1" x14ac:dyDescent="0.2">
      <c r="A278" s="95"/>
      <c r="B278" s="95"/>
      <c r="C278" s="4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spans="1:26" ht="12.75" customHeight="1" x14ac:dyDescent="0.2">
      <c r="A279" s="95"/>
      <c r="B279" s="95"/>
      <c r="C279" s="4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spans="1:26" ht="12.75" customHeight="1" x14ac:dyDescent="0.2">
      <c r="A280" s="95"/>
      <c r="B280" s="95"/>
      <c r="C280" s="4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spans="1:26" ht="12.75" customHeight="1" x14ac:dyDescent="0.2">
      <c r="A281" s="95"/>
      <c r="B281" s="95"/>
      <c r="C281" s="4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spans="1:26" ht="12.75" customHeight="1" x14ac:dyDescent="0.2">
      <c r="A282" s="95"/>
      <c r="B282" s="95"/>
      <c r="C282" s="4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spans="1:26" ht="12.75" customHeight="1" x14ac:dyDescent="0.2">
      <c r="A283" s="95"/>
      <c r="B283" s="95"/>
      <c r="C283" s="4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spans="1:26" ht="12.75" customHeight="1" x14ac:dyDescent="0.2">
      <c r="A284" s="95"/>
      <c r="B284" s="95"/>
      <c r="C284" s="4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spans="1:26" ht="12.75" customHeight="1" x14ac:dyDescent="0.2">
      <c r="A285" s="95"/>
      <c r="B285" s="95"/>
      <c r="C285" s="4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spans="1:26" ht="12.75" customHeight="1" x14ac:dyDescent="0.2">
      <c r="A286" s="95"/>
      <c r="B286" s="95"/>
      <c r="C286" s="4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spans="1:26" ht="12.75" customHeight="1" x14ac:dyDescent="0.2">
      <c r="A287" s="95"/>
      <c r="B287" s="95"/>
      <c r="C287" s="4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spans="1:26" ht="12.75" customHeight="1" x14ac:dyDescent="0.2">
      <c r="A288" s="95"/>
      <c r="B288" s="95"/>
      <c r="C288" s="4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spans="1:26" ht="12.75" customHeight="1" x14ac:dyDescent="0.2">
      <c r="A289" s="95"/>
      <c r="B289" s="95"/>
      <c r="C289" s="4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spans="1:26" ht="12.75" customHeight="1" x14ac:dyDescent="0.2">
      <c r="A290" s="95"/>
      <c r="B290" s="95"/>
      <c r="C290" s="4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spans="1:26" ht="12.75" customHeight="1" x14ac:dyDescent="0.2">
      <c r="A291" s="95"/>
      <c r="B291" s="95"/>
      <c r="C291" s="4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spans="1:26" ht="12.75" customHeight="1" x14ac:dyDescent="0.2">
      <c r="A292" s="95"/>
      <c r="B292" s="95"/>
      <c r="C292" s="4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spans="1:26" ht="12.75" customHeight="1" x14ac:dyDescent="0.2">
      <c r="A293" s="95"/>
      <c r="B293" s="95"/>
      <c r="C293" s="4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spans="1:26" ht="12.75" customHeight="1" x14ac:dyDescent="0.2">
      <c r="A294" s="95"/>
      <c r="B294" s="95"/>
      <c r="C294" s="4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spans="1:26" ht="12.75" customHeight="1" x14ac:dyDescent="0.2">
      <c r="A295" s="95"/>
      <c r="B295" s="95"/>
      <c r="C295" s="4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spans="1:26" ht="12.75" customHeight="1" x14ac:dyDescent="0.2">
      <c r="A296" s="95"/>
      <c r="B296" s="95"/>
      <c r="C296" s="4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spans="1:26" ht="12.75" customHeight="1" x14ac:dyDescent="0.2">
      <c r="A297" s="95"/>
      <c r="B297" s="95"/>
      <c r="C297" s="4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spans="1:26" ht="12.75" customHeight="1" x14ac:dyDescent="0.2">
      <c r="A298" s="95"/>
      <c r="B298" s="95"/>
      <c r="C298" s="4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spans="1:26" ht="12.75" customHeight="1" x14ac:dyDescent="0.2">
      <c r="A299" s="95"/>
      <c r="B299" s="95"/>
      <c r="C299" s="4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spans="1:26" ht="12.75" customHeight="1" x14ac:dyDescent="0.2">
      <c r="A300" s="95"/>
      <c r="B300" s="95"/>
      <c r="C300" s="4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spans="1:26" ht="12.75" customHeight="1" x14ac:dyDescent="0.2">
      <c r="A301" s="95"/>
      <c r="B301" s="95"/>
      <c r="C301" s="4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spans="1:26" ht="12.75" customHeight="1" x14ac:dyDescent="0.2">
      <c r="A302" s="95"/>
      <c r="B302" s="95"/>
      <c r="C302" s="4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spans="1:26" ht="12.75" customHeight="1" x14ac:dyDescent="0.2">
      <c r="A303" s="95"/>
      <c r="B303" s="95"/>
      <c r="C303" s="4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spans="1:26" ht="12.75" customHeight="1" x14ac:dyDescent="0.2">
      <c r="A304" s="95"/>
      <c r="B304" s="95"/>
      <c r="C304" s="4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spans="1:26" ht="12.75" customHeight="1" x14ac:dyDescent="0.2">
      <c r="A305" s="95"/>
      <c r="B305" s="95"/>
      <c r="C305" s="4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spans="1:26" ht="12.75" customHeight="1" x14ac:dyDescent="0.2">
      <c r="A306" s="95"/>
      <c r="B306" s="95"/>
      <c r="C306" s="4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spans="1:26" ht="12.75" customHeight="1" x14ac:dyDescent="0.2">
      <c r="A307" s="95"/>
      <c r="B307" s="95"/>
      <c r="C307" s="4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spans="1:26" ht="12.75" customHeight="1" x14ac:dyDescent="0.2">
      <c r="A308" s="95"/>
      <c r="B308" s="95"/>
      <c r="C308" s="4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spans="1:26" ht="12.75" customHeight="1" x14ac:dyDescent="0.2">
      <c r="A309" s="95"/>
      <c r="B309" s="95"/>
      <c r="C309" s="4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spans="1:26" ht="12.75" customHeight="1" x14ac:dyDescent="0.2">
      <c r="A310" s="95"/>
      <c r="B310" s="95"/>
      <c r="C310" s="4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spans="1:26" ht="12.75" customHeight="1" x14ac:dyDescent="0.2">
      <c r="A311" s="95"/>
      <c r="B311" s="95"/>
      <c r="C311" s="4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spans="1:26" ht="12.75" customHeight="1" x14ac:dyDescent="0.2">
      <c r="A312" s="95"/>
      <c r="B312" s="95"/>
      <c r="C312" s="4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spans="1:26" ht="12.75" customHeight="1" x14ac:dyDescent="0.2">
      <c r="A313" s="95"/>
      <c r="B313" s="95"/>
      <c r="C313" s="4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spans="1:26" ht="12.75" customHeight="1" x14ac:dyDescent="0.2">
      <c r="A314" s="95"/>
      <c r="B314" s="95"/>
      <c r="C314" s="4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spans="1:26" ht="12.75" customHeight="1" x14ac:dyDescent="0.2">
      <c r="A315" s="95"/>
      <c r="B315" s="95"/>
      <c r="C315" s="4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spans="1:26" ht="12.75" customHeight="1" x14ac:dyDescent="0.2">
      <c r="A316" s="95"/>
      <c r="B316" s="95"/>
      <c r="C316" s="4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spans="1:26" ht="12.75" customHeight="1" x14ac:dyDescent="0.2">
      <c r="A317" s="95"/>
      <c r="B317" s="95"/>
      <c r="C317" s="4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spans="1:26" ht="12.75" customHeight="1" x14ac:dyDescent="0.2">
      <c r="A318" s="95"/>
      <c r="B318" s="95"/>
      <c r="C318" s="4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spans="1:26" ht="12.75" customHeight="1" x14ac:dyDescent="0.2">
      <c r="A319" s="95"/>
      <c r="B319" s="95"/>
      <c r="C319" s="4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spans="1:26" ht="12.75" customHeight="1" x14ac:dyDescent="0.2">
      <c r="A320" s="95"/>
      <c r="B320" s="95"/>
      <c r="C320" s="4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spans="1:26" ht="12.75" customHeight="1" x14ac:dyDescent="0.2">
      <c r="A321" s="95"/>
      <c r="B321" s="95"/>
      <c r="C321" s="4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spans="1:26" ht="12.75" customHeight="1" x14ac:dyDescent="0.2">
      <c r="A322" s="95"/>
      <c r="B322" s="95"/>
      <c r="C322" s="4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spans="1:26" ht="12.75" customHeight="1" x14ac:dyDescent="0.2">
      <c r="A323" s="95"/>
      <c r="B323" s="95"/>
      <c r="C323" s="4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spans="1:26" ht="12.75" customHeight="1" x14ac:dyDescent="0.2">
      <c r="A324" s="95"/>
      <c r="B324" s="95"/>
      <c r="C324" s="4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spans="1:26" ht="12.75" customHeight="1" x14ac:dyDescent="0.2">
      <c r="A325" s="95"/>
      <c r="B325" s="95"/>
      <c r="C325" s="4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spans="1:26" ht="12.75" customHeight="1" x14ac:dyDescent="0.2">
      <c r="A326" s="95"/>
      <c r="B326" s="95"/>
      <c r="C326" s="4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spans="1:26" ht="12.75" customHeight="1" x14ac:dyDescent="0.2">
      <c r="A327" s="95"/>
      <c r="B327" s="95"/>
      <c r="C327" s="4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spans="1:26" ht="12.75" customHeight="1" x14ac:dyDescent="0.2">
      <c r="A328" s="95"/>
      <c r="B328" s="95"/>
      <c r="C328" s="4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spans="1:26" ht="12.75" customHeight="1" x14ac:dyDescent="0.2">
      <c r="A329" s="95"/>
      <c r="B329" s="95"/>
      <c r="C329" s="4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spans="1:26" ht="12.75" customHeight="1" x14ac:dyDescent="0.2">
      <c r="A330" s="95"/>
      <c r="B330" s="95"/>
      <c r="C330" s="4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spans="1:26" ht="12.75" customHeight="1" x14ac:dyDescent="0.2">
      <c r="A331" s="95"/>
      <c r="B331" s="95"/>
      <c r="C331" s="4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spans="1:26" ht="12.75" customHeight="1" x14ac:dyDescent="0.2">
      <c r="A332" s="95"/>
      <c r="B332" s="95"/>
      <c r="C332" s="4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spans="1:26" ht="12.75" customHeight="1" x14ac:dyDescent="0.2">
      <c r="A333" s="95"/>
      <c r="B333" s="95"/>
      <c r="C333" s="4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spans="1:26" ht="12.75" customHeight="1" x14ac:dyDescent="0.2">
      <c r="A334" s="95"/>
      <c r="B334" s="95"/>
      <c r="C334" s="4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spans="1:26" ht="12.75" customHeight="1" x14ac:dyDescent="0.2">
      <c r="A335" s="95"/>
      <c r="B335" s="95"/>
      <c r="C335" s="4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spans="1:26" ht="12.75" customHeight="1" x14ac:dyDescent="0.2">
      <c r="A336" s="95"/>
      <c r="B336" s="95"/>
      <c r="C336" s="4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spans="1:26" ht="12.75" customHeight="1" x14ac:dyDescent="0.2">
      <c r="A337" s="95"/>
      <c r="B337" s="95"/>
      <c r="C337" s="4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spans="1:26" ht="12.75" customHeight="1" x14ac:dyDescent="0.2">
      <c r="A338" s="95"/>
      <c r="B338" s="95"/>
      <c r="C338" s="4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spans="1:26" ht="12.75" customHeight="1" x14ac:dyDescent="0.2">
      <c r="A339" s="95"/>
      <c r="B339" s="95"/>
      <c r="C339" s="4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spans="1:26" ht="12.75" customHeight="1" x14ac:dyDescent="0.2">
      <c r="A340" s="95"/>
      <c r="B340" s="95"/>
      <c r="C340" s="4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spans="1:26" ht="12.75" customHeight="1" x14ac:dyDescent="0.2">
      <c r="A341" s="95"/>
      <c r="B341" s="95"/>
      <c r="C341" s="4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spans="1:26" ht="12.75" customHeight="1" x14ac:dyDescent="0.2">
      <c r="A342" s="95"/>
      <c r="B342" s="95"/>
      <c r="C342" s="4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spans="1:26" ht="12.75" customHeight="1" x14ac:dyDescent="0.2">
      <c r="A343" s="95"/>
      <c r="B343" s="95"/>
      <c r="C343" s="4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spans="1:26" ht="12.75" customHeight="1" x14ac:dyDescent="0.2">
      <c r="A344" s="95"/>
      <c r="B344" s="95"/>
      <c r="C344" s="4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spans="1:26" ht="12.75" customHeight="1" x14ac:dyDescent="0.2">
      <c r="A345" s="95"/>
      <c r="B345" s="95"/>
      <c r="C345" s="4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spans="1:26" ht="12.75" customHeight="1" x14ac:dyDescent="0.2">
      <c r="A346" s="95"/>
      <c r="B346" s="95"/>
      <c r="C346" s="4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spans="1:26" ht="12.75" customHeight="1" x14ac:dyDescent="0.2">
      <c r="A347" s="95"/>
      <c r="B347" s="95"/>
      <c r="C347" s="4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spans="1:26" ht="12.75" customHeight="1" x14ac:dyDescent="0.2">
      <c r="A348" s="95"/>
      <c r="B348" s="95"/>
      <c r="C348" s="4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spans="1:26" ht="12.75" customHeight="1" x14ac:dyDescent="0.2">
      <c r="A349" s="95"/>
      <c r="B349" s="95"/>
      <c r="C349" s="4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spans="1:26" ht="12.75" customHeight="1" x14ac:dyDescent="0.2">
      <c r="A350" s="95"/>
      <c r="B350" s="95"/>
      <c r="C350" s="4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spans="1:26" ht="12.75" customHeight="1" x14ac:dyDescent="0.2">
      <c r="A351" s="95"/>
      <c r="B351" s="95"/>
      <c r="C351" s="4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spans="1:26" ht="12.75" customHeight="1" x14ac:dyDescent="0.2">
      <c r="A352" s="95"/>
      <c r="B352" s="95"/>
      <c r="C352" s="4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spans="1:26" ht="12.75" customHeight="1" x14ac:dyDescent="0.2">
      <c r="A353" s="95"/>
      <c r="B353" s="95"/>
      <c r="C353" s="4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spans="1:26" ht="12.75" customHeight="1" x14ac:dyDescent="0.2">
      <c r="A354" s="95"/>
      <c r="B354" s="95"/>
      <c r="C354" s="4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spans="1:26" ht="12.75" customHeight="1" x14ac:dyDescent="0.2">
      <c r="A355" s="95"/>
      <c r="B355" s="95"/>
      <c r="C355" s="4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spans="1:26" ht="12.75" customHeight="1" x14ac:dyDescent="0.2">
      <c r="A356" s="95"/>
      <c r="B356" s="95"/>
      <c r="C356" s="4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spans="1:26" ht="12.75" customHeight="1" x14ac:dyDescent="0.2">
      <c r="A357" s="95"/>
      <c r="B357" s="95"/>
      <c r="C357" s="4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spans="1:26" ht="12.75" customHeight="1" x14ac:dyDescent="0.2">
      <c r="A358" s="95"/>
      <c r="B358" s="95"/>
      <c r="C358" s="4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spans="1:26" ht="12.75" customHeight="1" x14ac:dyDescent="0.2">
      <c r="A359" s="95"/>
      <c r="B359" s="95"/>
      <c r="C359" s="4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spans="1:26" ht="12.75" customHeight="1" x14ac:dyDescent="0.2">
      <c r="A360" s="95"/>
      <c r="B360" s="95"/>
      <c r="C360" s="4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spans="1:26" ht="12.75" customHeight="1" x14ac:dyDescent="0.2">
      <c r="A361" s="95"/>
      <c r="B361" s="95"/>
      <c r="C361" s="4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spans="1:26" ht="12.75" customHeight="1" x14ac:dyDescent="0.2">
      <c r="A362" s="95"/>
      <c r="B362" s="95"/>
      <c r="C362" s="4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spans="1:26" ht="12.75" customHeight="1" x14ac:dyDescent="0.2">
      <c r="A363" s="95"/>
      <c r="B363" s="95"/>
      <c r="C363" s="4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spans="1:26" ht="12.75" customHeight="1" x14ac:dyDescent="0.2">
      <c r="A364" s="95"/>
      <c r="B364" s="95"/>
      <c r="C364" s="4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spans="1:26" ht="12.75" customHeight="1" x14ac:dyDescent="0.2">
      <c r="A365" s="95"/>
      <c r="B365" s="95"/>
      <c r="C365" s="4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spans="1:26" ht="12.75" customHeight="1" x14ac:dyDescent="0.2">
      <c r="A366" s="95"/>
      <c r="B366" s="95"/>
      <c r="C366" s="4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spans="1:26" ht="12.75" customHeight="1" x14ac:dyDescent="0.2">
      <c r="A367" s="95"/>
      <c r="B367" s="95"/>
      <c r="C367" s="4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spans="1:26" ht="12.75" customHeight="1" x14ac:dyDescent="0.2">
      <c r="A368" s="95"/>
      <c r="B368" s="95"/>
      <c r="C368" s="4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spans="1:26" ht="12.75" customHeight="1" x14ac:dyDescent="0.2">
      <c r="A369" s="95"/>
      <c r="B369" s="95"/>
      <c r="C369" s="4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spans="1:26" ht="12.75" customHeight="1" x14ac:dyDescent="0.2">
      <c r="A370" s="95"/>
      <c r="B370" s="95"/>
      <c r="C370" s="4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spans="1:26" ht="12.75" customHeight="1" x14ac:dyDescent="0.2">
      <c r="A371" s="95"/>
      <c r="B371" s="95"/>
      <c r="C371" s="4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spans="1:26" ht="12.75" customHeight="1" x14ac:dyDescent="0.2">
      <c r="A372" s="95"/>
      <c r="B372" s="95"/>
      <c r="C372" s="4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spans="1:26" ht="12.75" customHeight="1" x14ac:dyDescent="0.2">
      <c r="A373" s="95"/>
      <c r="B373" s="95"/>
      <c r="C373" s="4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spans="1:26" ht="12.75" customHeight="1" x14ac:dyDescent="0.2">
      <c r="A374" s="95"/>
      <c r="B374" s="95"/>
      <c r="C374" s="4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spans="1:26" ht="12.75" customHeight="1" x14ac:dyDescent="0.2">
      <c r="A375" s="95"/>
      <c r="B375" s="95"/>
      <c r="C375" s="4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spans="1:26" ht="12.75" customHeight="1" x14ac:dyDescent="0.2">
      <c r="A376" s="95"/>
      <c r="B376" s="95"/>
      <c r="C376" s="4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spans="1:26" ht="12.75" customHeight="1" x14ac:dyDescent="0.2">
      <c r="A377" s="95"/>
      <c r="B377" s="95"/>
      <c r="C377" s="4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spans="1:26" ht="12.75" customHeight="1" x14ac:dyDescent="0.2">
      <c r="A378" s="95"/>
      <c r="B378" s="95"/>
      <c r="C378" s="4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spans="1:26" ht="12.75" customHeight="1" x14ac:dyDescent="0.2">
      <c r="A379" s="95"/>
      <c r="B379" s="95"/>
      <c r="C379" s="4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spans="1:26" ht="12.75" customHeight="1" x14ac:dyDescent="0.2">
      <c r="A380" s="95"/>
      <c r="B380" s="95"/>
      <c r="C380" s="4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spans="1:26" ht="12.75" customHeight="1" x14ac:dyDescent="0.2">
      <c r="A381" s="95"/>
      <c r="B381" s="95"/>
      <c r="C381" s="4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spans="1:26" ht="12.75" customHeight="1" x14ac:dyDescent="0.2">
      <c r="A382" s="95"/>
      <c r="B382" s="95"/>
      <c r="C382" s="4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spans="1:26" ht="12.75" customHeight="1" x14ac:dyDescent="0.2">
      <c r="A383" s="95"/>
      <c r="B383" s="95"/>
      <c r="C383" s="4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spans="1:26" ht="12.75" customHeight="1" x14ac:dyDescent="0.2">
      <c r="A384" s="95"/>
      <c r="B384" s="95"/>
      <c r="C384" s="4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spans="1:26" ht="12.75" customHeight="1" x14ac:dyDescent="0.2">
      <c r="A385" s="95"/>
      <c r="B385" s="95"/>
      <c r="C385" s="4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spans="1:26" ht="12.75" customHeight="1" x14ac:dyDescent="0.2">
      <c r="A386" s="95"/>
      <c r="B386" s="95"/>
      <c r="C386" s="4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spans="1:26" ht="12.75" customHeight="1" x14ac:dyDescent="0.2">
      <c r="A387" s="95"/>
      <c r="B387" s="95"/>
      <c r="C387" s="4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spans="1:26" ht="12.75" customHeight="1" x14ac:dyDescent="0.2">
      <c r="A388" s="95"/>
      <c r="B388" s="95"/>
      <c r="C388" s="4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spans="1:26" ht="12.75" customHeight="1" x14ac:dyDescent="0.2">
      <c r="A389" s="95"/>
      <c r="B389" s="95"/>
      <c r="C389" s="4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spans="1:26" ht="12.75" customHeight="1" x14ac:dyDescent="0.2">
      <c r="A390" s="95"/>
      <c r="B390" s="95"/>
      <c r="C390" s="4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spans="1:26" ht="12.75" customHeight="1" x14ac:dyDescent="0.2">
      <c r="A391" s="95"/>
      <c r="B391" s="95"/>
      <c r="C391" s="4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spans="1:26" ht="12.75" customHeight="1" x14ac:dyDescent="0.2">
      <c r="A392" s="95"/>
      <c r="B392" s="95"/>
      <c r="C392" s="4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spans="1:26" ht="12.75" customHeight="1" x14ac:dyDescent="0.2">
      <c r="A393" s="95"/>
      <c r="B393" s="95"/>
      <c r="C393" s="4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spans="1:26" ht="12.75" customHeight="1" x14ac:dyDescent="0.2">
      <c r="A394" s="95"/>
      <c r="B394" s="95"/>
      <c r="C394" s="4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spans="1:26" ht="12.75" customHeight="1" x14ac:dyDescent="0.2">
      <c r="A395" s="95"/>
      <c r="B395" s="95"/>
      <c r="C395" s="4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spans="1:26" ht="12.75" customHeight="1" x14ac:dyDescent="0.2">
      <c r="A396" s="95"/>
      <c r="B396" s="95"/>
      <c r="C396" s="4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spans="1:26" ht="12.75" customHeight="1" x14ac:dyDescent="0.2">
      <c r="A397" s="95"/>
      <c r="B397" s="95"/>
      <c r="C397" s="4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spans="1:26" ht="12.75" customHeight="1" x14ac:dyDescent="0.2">
      <c r="A398" s="95"/>
      <c r="B398" s="95"/>
      <c r="C398" s="4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spans="1:26" ht="12.75" customHeight="1" x14ac:dyDescent="0.2">
      <c r="A399" s="95"/>
      <c r="B399" s="95"/>
      <c r="C399" s="4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spans="1:26" ht="12.75" customHeight="1" x14ac:dyDescent="0.2">
      <c r="A400" s="95"/>
      <c r="B400" s="95"/>
      <c r="C400" s="4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spans="1:26" ht="12.75" customHeight="1" x14ac:dyDescent="0.2">
      <c r="A401" s="95"/>
      <c r="B401" s="95"/>
      <c r="C401" s="4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spans="1:26" ht="12.75" customHeight="1" x14ac:dyDescent="0.2">
      <c r="A402" s="95"/>
      <c r="B402" s="95"/>
      <c r="C402" s="4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spans="1:26" ht="12.75" customHeight="1" x14ac:dyDescent="0.2">
      <c r="A403" s="95"/>
      <c r="B403" s="95"/>
      <c r="C403" s="4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spans="1:26" ht="12.75" customHeight="1" x14ac:dyDescent="0.2">
      <c r="A404" s="95"/>
      <c r="B404" s="95"/>
      <c r="C404" s="4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spans="1:26" ht="12.75" customHeight="1" x14ac:dyDescent="0.2">
      <c r="A405" s="95"/>
      <c r="B405" s="95"/>
      <c r="C405" s="4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spans="1:26" ht="12.75" customHeight="1" x14ac:dyDescent="0.2">
      <c r="A406" s="95"/>
      <c r="B406" s="95"/>
      <c r="C406" s="4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spans="1:26" ht="12.75" customHeight="1" x14ac:dyDescent="0.2">
      <c r="A407" s="95"/>
      <c r="B407" s="95"/>
      <c r="C407" s="4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spans="1:26" ht="12.75" customHeight="1" x14ac:dyDescent="0.2">
      <c r="A408" s="95"/>
      <c r="B408" s="95"/>
      <c r="C408" s="4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spans="1:26" ht="12.75" customHeight="1" x14ac:dyDescent="0.2">
      <c r="A409" s="95"/>
      <c r="B409" s="95"/>
      <c r="C409" s="4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spans="1:26" ht="12.75" customHeight="1" x14ac:dyDescent="0.2">
      <c r="A410" s="95"/>
      <c r="B410" s="95"/>
      <c r="C410" s="4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spans="1:26" ht="12.75" customHeight="1" x14ac:dyDescent="0.2">
      <c r="A411" s="95"/>
      <c r="B411" s="95"/>
      <c r="C411" s="4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spans="1:26" ht="12.75" customHeight="1" x14ac:dyDescent="0.2">
      <c r="A412" s="95"/>
      <c r="B412" s="95"/>
      <c r="C412" s="4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spans="1:26" ht="12.75" customHeight="1" x14ac:dyDescent="0.2">
      <c r="A413" s="95"/>
      <c r="B413" s="95"/>
      <c r="C413" s="4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spans="1:26" ht="12.75" customHeight="1" x14ac:dyDescent="0.2">
      <c r="A414" s="95"/>
      <c r="B414" s="95"/>
      <c r="C414" s="4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spans="1:26" ht="12.75" customHeight="1" x14ac:dyDescent="0.2">
      <c r="A415" s="95"/>
      <c r="B415" s="95"/>
      <c r="C415" s="4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spans="1:26" ht="12.75" customHeight="1" x14ac:dyDescent="0.2">
      <c r="A416" s="95"/>
      <c r="B416" s="95"/>
      <c r="C416" s="4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spans="1:26" ht="12.75" customHeight="1" x14ac:dyDescent="0.2">
      <c r="A417" s="95"/>
      <c r="B417" s="95"/>
      <c r="C417" s="4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spans="1:26" ht="12.75" customHeight="1" x14ac:dyDescent="0.2">
      <c r="A418" s="95"/>
      <c r="B418" s="95"/>
      <c r="C418" s="4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spans="1:26" ht="12.75" customHeight="1" x14ac:dyDescent="0.2">
      <c r="A419" s="95"/>
      <c r="B419" s="95"/>
      <c r="C419" s="4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spans="1:26" ht="12.75" customHeight="1" x14ac:dyDescent="0.2">
      <c r="A420" s="95"/>
      <c r="B420" s="95"/>
      <c r="C420" s="4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spans="1:26" ht="12.75" customHeight="1" x14ac:dyDescent="0.2">
      <c r="A421" s="95"/>
      <c r="B421" s="95"/>
      <c r="C421" s="4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spans="1:26" ht="12.75" customHeight="1" x14ac:dyDescent="0.2">
      <c r="A422" s="95"/>
      <c r="B422" s="95"/>
      <c r="C422" s="4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spans="1:26" ht="12.75" customHeight="1" x14ac:dyDescent="0.2">
      <c r="A423" s="95"/>
      <c r="B423" s="95"/>
      <c r="C423" s="4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spans="1:26" ht="12.75" customHeight="1" x14ac:dyDescent="0.2">
      <c r="A424" s="95"/>
      <c r="B424" s="95"/>
      <c r="C424" s="4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spans="1:26" ht="12.75" customHeight="1" x14ac:dyDescent="0.2">
      <c r="A425" s="95"/>
      <c r="B425" s="95"/>
      <c r="C425" s="4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spans="1:26" ht="12.75" customHeight="1" x14ac:dyDescent="0.2">
      <c r="A426" s="95"/>
      <c r="B426" s="95"/>
      <c r="C426" s="4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spans="1:26" ht="12.75" customHeight="1" x14ac:dyDescent="0.2">
      <c r="A427" s="95"/>
      <c r="B427" s="95"/>
      <c r="C427" s="4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spans="1:26" ht="12.75" customHeight="1" x14ac:dyDescent="0.2">
      <c r="A428" s="95"/>
      <c r="B428" s="95"/>
      <c r="C428" s="4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spans="1:26" ht="12.75" customHeight="1" x14ac:dyDescent="0.2">
      <c r="A429" s="95"/>
      <c r="B429" s="95"/>
      <c r="C429" s="4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spans="1:26" ht="12.75" customHeight="1" x14ac:dyDescent="0.2">
      <c r="A430" s="95"/>
      <c r="B430" s="95"/>
      <c r="C430" s="4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spans="1:26" ht="12.75" customHeight="1" x14ac:dyDescent="0.2">
      <c r="A431" s="95"/>
      <c r="B431" s="95"/>
      <c r="C431" s="4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spans="1:26" ht="12.75" customHeight="1" x14ac:dyDescent="0.2">
      <c r="A432" s="95"/>
      <c r="B432" s="95"/>
      <c r="C432" s="4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spans="1:26" ht="12.75" customHeight="1" x14ac:dyDescent="0.2">
      <c r="A433" s="95"/>
      <c r="B433" s="95"/>
      <c r="C433" s="4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spans="1:26" ht="12.75" customHeight="1" x14ac:dyDescent="0.2">
      <c r="A434" s="95"/>
      <c r="B434" s="95"/>
      <c r="C434" s="4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spans="1:26" ht="12.75" customHeight="1" x14ac:dyDescent="0.2">
      <c r="A435" s="95"/>
      <c r="B435" s="95"/>
      <c r="C435" s="4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spans="1:26" ht="12.75" customHeight="1" x14ac:dyDescent="0.2">
      <c r="A436" s="95"/>
      <c r="B436" s="95"/>
      <c r="C436" s="4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spans="1:26" ht="12.75" customHeight="1" x14ac:dyDescent="0.2">
      <c r="A437" s="95"/>
      <c r="B437" s="95"/>
      <c r="C437" s="4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spans="1:26" ht="12.75" customHeight="1" x14ac:dyDescent="0.2">
      <c r="A438" s="95"/>
      <c r="B438" s="95"/>
      <c r="C438" s="4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spans="1:26" ht="12.75" customHeight="1" x14ac:dyDescent="0.2">
      <c r="A439" s="95"/>
      <c r="B439" s="95"/>
      <c r="C439" s="4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spans="1:26" ht="12.75" customHeight="1" x14ac:dyDescent="0.2">
      <c r="A440" s="95"/>
      <c r="B440" s="95"/>
      <c r="C440" s="4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spans="1:26" ht="12.75" customHeight="1" x14ac:dyDescent="0.2">
      <c r="A441" s="95"/>
      <c r="B441" s="95"/>
      <c r="C441" s="4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spans="1:26" ht="12.75" customHeight="1" x14ac:dyDescent="0.2">
      <c r="A442" s="95"/>
      <c r="B442" s="95"/>
      <c r="C442" s="4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spans="1:26" ht="12.75" customHeight="1" x14ac:dyDescent="0.2">
      <c r="A443" s="95"/>
      <c r="B443" s="95"/>
      <c r="C443" s="4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spans="1:26" ht="12.75" customHeight="1" x14ac:dyDescent="0.2">
      <c r="A444" s="95"/>
      <c r="B444" s="95"/>
      <c r="C444" s="4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spans="1:26" ht="12.75" customHeight="1" x14ac:dyDescent="0.2">
      <c r="A445" s="95"/>
      <c r="B445" s="95"/>
      <c r="C445" s="4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spans="1:26" ht="12.75" customHeight="1" x14ac:dyDescent="0.2">
      <c r="A446" s="95"/>
      <c r="B446" s="95"/>
      <c r="C446" s="4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spans="1:26" ht="12.75" customHeight="1" x14ac:dyDescent="0.2">
      <c r="A447" s="95"/>
      <c r="B447" s="95"/>
      <c r="C447" s="4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spans="1:26" ht="12.75" customHeight="1" x14ac:dyDescent="0.2">
      <c r="A448" s="95"/>
      <c r="B448" s="95"/>
      <c r="C448" s="4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spans="1:26" ht="12.75" customHeight="1" x14ac:dyDescent="0.2">
      <c r="A449" s="95"/>
      <c r="B449" s="95"/>
      <c r="C449" s="4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spans="1:26" ht="12.75" customHeight="1" x14ac:dyDescent="0.2">
      <c r="A450" s="95"/>
      <c r="B450" s="95"/>
      <c r="C450" s="4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spans="1:26" ht="12.75" customHeight="1" x14ac:dyDescent="0.2">
      <c r="A451" s="95"/>
      <c r="B451" s="95"/>
      <c r="C451" s="4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spans="1:26" ht="12.75" customHeight="1" x14ac:dyDescent="0.2">
      <c r="A452" s="95"/>
      <c r="B452" s="95"/>
      <c r="C452" s="4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spans="1:26" ht="12.75" customHeight="1" x14ac:dyDescent="0.2">
      <c r="A453" s="95"/>
      <c r="B453" s="95"/>
      <c r="C453" s="4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spans="1:26" ht="12.75" customHeight="1" x14ac:dyDescent="0.2">
      <c r="A454" s="95"/>
      <c r="B454" s="95"/>
      <c r="C454" s="4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spans="1:26" ht="12.75" customHeight="1" x14ac:dyDescent="0.2">
      <c r="A455" s="95"/>
      <c r="B455" s="95"/>
      <c r="C455" s="4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spans="1:26" ht="12.75" customHeight="1" x14ac:dyDescent="0.2">
      <c r="A456" s="95"/>
      <c r="B456" s="95"/>
      <c r="C456" s="4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spans="1:26" ht="12.75" customHeight="1" x14ac:dyDescent="0.2">
      <c r="A457" s="95"/>
      <c r="B457" s="95"/>
      <c r="C457" s="4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spans="1:26" ht="12.75" customHeight="1" x14ac:dyDescent="0.2">
      <c r="A458" s="95"/>
      <c r="B458" s="95"/>
      <c r="C458" s="4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spans="1:26" ht="12.75" customHeight="1" x14ac:dyDescent="0.2">
      <c r="A459" s="95"/>
      <c r="B459" s="95"/>
      <c r="C459" s="4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spans="1:26" ht="12.75" customHeight="1" x14ac:dyDescent="0.2">
      <c r="A460" s="95"/>
      <c r="B460" s="95"/>
      <c r="C460" s="4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spans="1:26" ht="12.75" customHeight="1" x14ac:dyDescent="0.2">
      <c r="A461" s="95"/>
      <c r="B461" s="95"/>
      <c r="C461" s="4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spans="1:26" ht="12.75" customHeight="1" x14ac:dyDescent="0.2">
      <c r="A462" s="95"/>
      <c r="B462" s="95"/>
      <c r="C462" s="4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spans="1:26" ht="12.75" customHeight="1" x14ac:dyDescent="0.2">
      <c r="A463" s="95"/>
      <c r="B463" s="95"/>
      <c r="C463" s="4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spans="1:26" ht="12.75" customHeight="1" x14ac:dyDescent="0.2">
      <c r="A464" s="95"/>
      <c r="B464" s="95"/>
      <c r="C464" s="4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spans="1:26" ht="12.75" customHeight="1" x14ac:dyDescent="0.2">
      <c r="A465" s="95"/>
      <c r="B465" s="95"/>
      <c r="C465" s="4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spans="1:26" ht="12.75" customHeight="1" x14ac:dyDescent="0.2">
      <c r="A466" s="95"/>
      <c r="B466" s="95"/>
      <c r="C466" s="4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spans="1:26" ht="12.75" customHeight="1" x14ac:dyDescent="0.2">
      <c r="A467" s="95"/>
      <c r="B467" s="95"/>
      <c r="C467" s="4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spans="1:26" ht="12.75" customHeight="1" x14ac:dyDescent="0.2">
      <c r="A468" s="95"/>
      <c r="B468" s="95"/>
      <c r="C468" s="4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spans="1:26" ht="12.75" customHeight="1" x14ac:dyDescent="0.2">
      <c r="A469" s="95"/>
      <c r="B469" s="95"/>
      <c r="C469" s="4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spans="1:26" ht="12.75" customHeight="1" x14ac:dyDescent="0.2">
      <c r="A470" s="95"/>
      <c r="B470" s="95"/>
      <c r="C470" s="4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spans="1:26" ht="12.75" customHeight="1" x14ac:dyDescent="0.2">
      <c r="A471" s="95"/>
      <c r="B471" s="95"/>
      <c r="C471" s="4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spans="1:26" ht="12.75" customHeight="1" x14ac:dyDescent="0.2">
      <c r="A472" s="95"/>
      <c r="B472" s="95"/>
      <c r="C472" s="4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spans="1:26" ht="12.75" customHeight="1" x14ac:dyDescent="0.2">
      <c r="A473" s="95"/>
      <c r="B473" s="95"/>
      <c r="C473" s="4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spans="1:26" ht="12.75" customHeight="1" x14ac:dyDescent="0.2">
      <c r="A474" s="95"/>
      <c r="B474" s="95"/>
      <c r="C474" s="4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spans="1:26" ht="12.75" customHeight="1" x14ac:dyDescent="0.2">
      <c r="A475" s="95"/>
      <c r="B475" s="95"/>
      <c r="C475" s="4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spans="1:26" ht="12.75" customHeight="1" x14ac:dyDescent="0.2">
      <c r="A476" s="95"/>
      <c r="B476" s="95"/>
      <c r="C476" s="4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spans="1:26" ht="12.75" customHeight="1" x14ac:dyDescent="0.2">
      <c r="A477" s="95"/>
      <c r="B477" s="95"/>
      <c r="C477" s="4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spans="1:26" ht="12.75" customHeight="1" x14ac:dyDescent="0.2">
      <c r="A478" s="95"/>
      <c r="B478" s="95"/>
      <c r="C478" s="4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spans="1:26" ht="12.75" customHeight="1" x14ac:dyDescent="0.2">
      <c r="A479" s="95"/>
      <c r="B479" s="95"/>
      <c r="C479" s="4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spans="1:26" ht="12.75" customHeight="1" x14ac:dyDescent="0.2">
      <c r="A480" s="95"/>
      <c r="B480" s="95"/>
      <c r="C480" s="4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spans="1:26" ht="12.75" customHeight="1" x14ac:dyDescent="0.2">
      <c r="A481" s="95"/>
      <c r="B481" s="95"/>
      <c r="C481" s="4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spans="1:26" ht="12.75" customHeight="1" x14ac:dyDescent="0.2">
      <c r="A482" s="95"/>
      <c r="B482" s="95"/>
      <c r="C482" s="4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spans="1:26" ht="12.75" customHeight="1" x14ac:dyDescent="0.2">
      <c r="A483" s="95"/>
      <c r="B483" s="95"/>
      <c r="C483" s="4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spans="1:26" ht="12.75" customHeight="1" x14ac:dyDescent="0.2">
      <c r="A484" s="95"/>
      <c r="B484" s="95"/>
      <c r="C484" s="4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spans="1:26" ht="12.75" customHeight="1" x14ac:dyDescent="0.2">
      <c r="A485" s="95"/>
      <c r="B485" s="95"/>
      <c r="C485" s="4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spans="1:26" ht="12.75" customHeight="1" x14ac:dyDescent="0.2">
      <c r="A486" s="95"/>
      <c r="B486" s="95"/>
      <c r="C486" s="4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spans="1:26" ht="12.75" customHeight="1" x14ac:dyDescent="0.2">
      <c r="A487" s="95"/>
      <c r="B487" s="95"/>
      <c r="C487" s="4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spans="1:26" ht="12.75" customHeight="1" x14ac:dyDescent="0.2">
      <c r="A488" s="95"/>
      <c r="B488" s="95"/>
      <c r="C488" s="4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spans="1:26" ht="12.75" customHeight="1" x14ac:dyDescent="0.2">
      <c r="A489" s="95"/>
      <c r="B489" s="95"/>
      <c r="C489" s="4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spans="1:26" ht="12.75" customHeight="1" x14ac:dyDescent="0.2">
      <c r="A490" s="95"/>
      <c r="B490" s="95"/>
      <c r="C490" s="4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spans="1:26" ht="12.75" customHeight="1" x14ac:dyDescent="0.2">
      <c r="A491" s="95"/>
      <c r="B491" s="95"/>
      <c r="C491" s="4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spans="1:26" ht="12.75" customHeight="1" x14ac:dyDescent="0.2">
      <c r="A492" s="95"/>
      <c r="B492" s="95"/>
      <c r="C492" s="4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spans="1:26" ht="12.75" customHeight="1" x14ac:dyDescent="0.2">
      <c r="A493" s="95"/>
      <c r="B493" s="95"/>
      <c r="C493" s="4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spans="1:26" ht="12.75" customHeight="1" x14ac:dyDescent="0.2">
      <c r="A494" s="95"/>
      <c r="B494" s="95"/>
      <c r="C494" s="4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spans="1:26" ht="12.75" customHeight="1" x14ac:dyDescent="0.2">
      <c r="A495" s="95"/>
      <c r="B495" s="95"/>
      <c r="C495" s="4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spans="1:26" ht="12.75" customHeight="1" x14ac:dyDescent="0.2">
      <c r="A496" s="95"/>
      <c r="B496" s="95"/>
      <c r="C496" s="4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spans="1:26" ht="12.75" customHeight="1" x14ac:dyDescent="0.2">
      <c r="A497" s="95"/>
      <c r="B497" s="95"/>
      <c r="C497" s="4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spans="1:26" ht="12.75" customHeight="1" x14ac:dyDescent="0.2">
      <c r="A498" s="95"/>
      <c r="B498" s="95"/>
      <c r="C498" s="4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spans="1:26" ht="12.75" customHeight="1" x14ac:dyDescent="0.2">
      <c r="A499" s="95"/>
      <c r="B499" s="95"/>
      <c r="C499" s="4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spans="1:26" ht="12.75" customHeight="1" x14ac:dyDescent="0.2">
      <c r="A500" s="95"/>
      <c r="B500" s="95"/>
      <c r="C500" s="4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spans="1:26" ht="12.75" customHeight="1" x14ac:dyDescent="0.2">
      <c r="A501" s="95"/>
      <c r="B501" s="95"/>
      <c r="C501" s="4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spans="1:26" ht="12.75" customHeight="1" x14ac:dyDescent="0.2">
      <c r="A502" s="95"/>
      <c r="B502" s="95"/>
      <c r="C502" s="4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spans="1:26" ht="12.75" customHeight="1" x14ac:dyDescent="0.2">
      <c r="A503" s="95"/>
      <c r="B503" s="95"/>
      <c r="C503" s="4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spans="1:26" ht="12.75" customHeight="1" x14ac:dyDescent="0.2">
      <c r="A504" s="95"/>
      <c r="B504" s="95"/>
      <c r="C504" s="4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spans="1:26" ht="12.75" customHeight="1" x14ac:dyDescent="0.2">
      <c r="A505" s="95"/>
      <c r="B505" s="95"/>
      <c r="C505" s="4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spans="1:26" ht="12.75" customHeight="1" x14ac:dyDescent="0.2">
      <c r="A506" s="95"/>
      <c r="B506" s="95"/>
      <c r="C506" s="4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spans="1:26" ht="12.75" customHeight="1" x14ac:dyDescent="0.2">
      <c r="A507" s="95"/>
      <c r="B507" s="95"/>
      <c r="C507" s="4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spans="1:26" ht="12.75" customHeight="1" x14ac:dyDescent="0.2">
      <c r="A508" s="95"/>
      <c r="B508" s="95"/>
      <c r="C508" s="4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spans="1:26" ht="12.75" customHeight="1" x14ac:dyDescent="0.2">
      <c r="A509" s="95"/>
      <c r="B509" s="95"/>
      <c r="C509" s="4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spans="1:26" ht="12.75" customHeight="1" x14ac:dyDescent="0.2">
      <c r="A510" s="95"/>
      <c r="B510" s="95"/>
      <c r="C510" s="4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spans="1:26" ht="12.75" customHeight="1" x14ac:dyDescent="0.2">
      <c r="A511" s="95"/>
      <c r="B511" s="95"/>
      <c r="C511" s="4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spans="1:26" ht="12.75" customHeight="1" x14ac:dyDescent="0.2">
      <c r="A512" s="95"/>
      <c r="B512" s="95"/>
      <c r="C512" s="4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spans="1:26" ht="12.75" customHeight="1" x14ac:dyDescent="0.2">
      <c r="A513" s="95"/>
      <c r="B513" s="95"/>
      <c r="C513" s="4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spans="1:26" ht="12.75" customHeight="1" x14ac:dyDescent="0.2">
      <c r="A514" s="95"/>
      <c r="B514" s="95"/>
      <c r="C514" s="4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spans="1:26" ht="12.75" customHeight="1" x14ac:dyDescent="0.2">
      <c r="A515" s="95"/>
      <c r="B515" s="95"/>
      <c r="C515" s="4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spans="1:26" ht="12.75" customHeight="1" x14ac:dyDescent="0.2">
      <c r="A516" s="95"/>
      <c r="B516" s="95"/>
      <c r="C516" s="4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spans="1:26" ht="12.75" customHeight="1" x14ac:dyDescent="0.2">
      <c r="A517" s="95"/>
      <c r="B517" s="95"/>
      <c r="C517" s="4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spans="1:26" ht="12.75" customHeight="1" x14ac:dyDescent="0.2">
      <c r="A518" s="95"/>
      <c r="B518" s="95"/>
      <c r="C518" s="4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spans="1:26" ht="12.75" customHeight="1" x14ac:dyDescent="0.2">
      <c r="A519" s="95"/>
      <c r="B519" s="95"/>
      <c r="C519" s="4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spans="1:26" ht="12.75" customHeight="1" x14ac:dyDescent="0.2">
      <c r="A520" s="95"/>
      <c r="B520" s="95"/>
      <c r="C520" s="4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spans="1:26" ht="12.75" customHeight="1" x14ac:dyDescent="0.2">
      <c r="A521" s="95"/>
      <c r="B521" s="95"/>
      <c r="C521" s="4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spans="1:26" ht="12.75" customHeight="1" x14ac:dyDescent="0.2">
      <c r="A522" s="95"/>
      <c r="B522" s="95"/>
      <c r="C522" s="4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spans="1:26" ht="12.75" customHeight="1" x14ac:dyDescent="0.2">
      <c r="A523" s="95"/>
      <c r="B523" s="95"/>
      <c r="C523" s="4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spans="1:26" ht="12.75" customHeight="1" x14ac:dyDescent="0.2">
      <c r="A524" s="95"/>
      <c r="B524" s="95"/>
      <c r="C524" s="4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spans="1:26" ht="12.75" customHeight="1" x14ac:dyDescent="0.2">
      <c r="A525" s="95"/>
      <c r="B525" s="95"/>
      <c r="C525" s="4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spans="1:26" ht="12.75" customHeight="1" x14ac:dyDescent="0.2">
      <c r="A526" s="95"/>
      <c r="B526" s="95"/>
      <c r="C526" s="4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spans="1:26" ht="12.75" customHeight="1" x14ac:dyDescent="0.2">
      <c r="A527" s="95"/>
      <c r="B527" s="95"/>
      <c r="C527" s="4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spans="1:26" ht="12.75" customHeight="1" x14ac:dyDescent="0.2">
      <c r="A528" s="95"/>
      <c r="B528" s="95"/>
      <c r="C528" s="4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spans="1:26" ht="12.75" customHeight="1" x14ac:dyDescent="0.2">
      <c r="A529" s="95"/>
      <c r="B529" s="95"/>
      <c r="C529" s="4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spans="1:26" ht="12.75" customHeight="1" x14ac:dyDescent="0.2">
      <c r="A530" s="95"/>
      <c r="B530" s="95"/>
      <c r="C530" s="4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spans="1:26" ht="12.75" customHeight="1" x14ac:dyDescent="0.2">
      <c r="A531" s="95"/>
      <c r="B531" s="95"/>
      <c r="C531" s="4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spans="1:26" ht="12.75" customHeight="1" x14ac:dyDescent="0.2">
      <c r="A532" s="95"/>
      <c r="B532" s="95"/>
      <c r="C532" s="4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spans="1:26" ht="12.75" customHeight="1" x14ac:dyDescent="0.2">
      <c r="A533" s="95"/>
      <c r="B533" s="95"/>
      <c r="C533" s="4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spans="1:26" ht="12.75" customHeight="1" x14ac:dyDescent="0.2">
      <c r="A534" s="95"/>
      <c r="B534" s="95"/>
      <c r="C534" s="4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spans="1:26" ht="12.75" customHeight="1" x14ac:dyDescent="0.2">
      <c r="A535" s="95"/>
      <c r="B535" s="95"/>
      <c r="C535" s="4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spans="1:26" ht="12.75" customHeight="1" x14ac:dyDescent="0.2">
      <c r="A536" s="95"/>
      <c r="B536" s="95"/>
      <c r="C536" s="4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spans="1:26" ht="12.75" customHeight="1" x14ac:dyDescent="0.2">
      <c r="A537" s="95"/>
      <c r="B537" s="95"/>
      <c r="C537" s="4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spans="1:26" ht="12.75" customHeight="1" x14ac:dyDescent="0.2">
      <c r="A538" s="95"/>
      <c r="B538" s="95"/>
      <c r="C538" s="4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spans="1:26" ht="12.75" customHeight="1" x14ac:dyDescent="0.2">
      <c r="A539" s="95"/>
      <c r="B539" s="95"/>
      <c r="C539" s="4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spans="1:26" ht="12.75" customHeight="1" x14ac:dyDescent="0.2">
      <c r="A540" s="95"/>
      <c r="B540" s="95"/>
      <c r="C540" s="4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spans="1:26" ht="12.75" customHeight="1" x14ac:dyDescent="0.2">
      <c r="A541" s="95"/>
      <c r="B541" s="95"/>
      <c r="C541" s="4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spans="1:26" ht="12.75" customHeight="1" x14ac:dyDescent="0.2">
      <c r="A542" s="95"/>
      <c r="B542" s="95"/>
      <c r="C542" s="4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spans="1:26" ht="12.75" customHeight="1" x14ac:dyDescent="0.2">
      <c r="A543" s="95"/>
      <c r="B543" s="95"/>
      <c r="C543" s="4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spans="1:26" ht="12.75" customHeight="1" x14ac:dyDescent="0.2">
      <c r="A544" s="95"/>
      <c r="B544" s="95"/>
      <c r="C544" s="4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spans="1:26" ht="12.75" customHeight="1" x14ac:dyDescent="0.2">
      <c r="A545" s="95"/>
      <c r="B545" s="95"/>
      <c r="C545" s="4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spans="1:26" ht="12.75" customHeight="1" x14ac:dyDescent="0.2">
      <c r="A546" s="95"/>
      <c r="B546" s="95"/>
      <c r="C546" s="4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spans="1:26" ht="12.75" customHeight="1" x14ac:dyDescent="0.2">
      <c r="A547" s="95"/>
      <c r="B547" s="95"/>
      <c r="C547" s="4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spans="1:26" ht="12.75" customHeight="1" x14ac:dyDescent="0.2">
      <c r="A548" s="95"/>
      <c r="B548" s="95"/>
      <c r="C548" s="4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spans="1:26" ht="12.75" customHeight="1" x14ac:dyDescent="0.2">
      <c r="A549" s="95"/>
      <c r="B549" s="95"/>
      <c r="C549" s="4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spans="1:26" ht="12.75" customHeight="1" x14ac:dyDescent="0.2">
      <c r="A550" s="95"/>
      <c r="B550" s="95"/>
      <c r="C550" s="4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spans="1:26" ht="12.75" customHeight="1" x14ac:dyDescent="0.2">
      <c r="A551" s="95"/>
      <c r="B551" s="95"/>
      <c r="C551" s="4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spans="1:26" ht="12.75" customHeight="1" x14ac:dyDescent="0.2">
      <c r="A552" s="95"/>
      <c r="B552" s="95"/>
      <c r="C552" s="4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spans="1:26" ht="12.75" customHeight="1" x14ac:dyDescent="0.2">
      <c r="A553" s="95"/>
      <c r="B553" s="95"/>
      <c r="C553" s="4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spans="1:26" ht="12.75" customHeight="1" x14ac:dyDescent="0.2">
      <c r="A554" s="95"/>
      <c r="B554" s="95"/>
      <c r="C554" s="4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spans="1:26" ht="12.75" customHeight="1" x14ac:dyDescent="0.2">
      <c r="A555" s="95"/>
      <c r="B555" s="95"/>
      <c r="C555" s="4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spans="1:26" ht="12.75" customHeight="1" x14ac:dyDescent="0.2">
      <c r="A556" s="95"/>
      <c r="B556" s="95"/>
      <c r="C556" s="4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spans="1:26" ht="12.75" customHeight="1" x14ac:dyDescent="0.2">
      <c r="A557" s="95"/>
      <c r="B557" s="95"/>
      <c r="C557" s="4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spans="1:26" ht="12.75" customHeight="1" x14ac:dyDescent="0.2">
      <c r="A558" s="95"/>
      <c r="B558" s="95"/>
      <c r="C558" s="4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spans="1:26" ht="12.75" customHeight="1" x14ac:dyDescent="0.2">
      <c r="A559" s="95"/>
      <c r="B559" s="95"/>
      <c r="C559" s="4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spans="1:26" ht="12.75" customHeight="1" x14ac:dyDescent="0.2">
      <c r="A560" s="95"/>
      <c r="B560" s="95"/>
      <c r="C560" s="4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spans="1:26" ht="12.75" customHeight="1" x14ac:dyDescent="0.2">
      <c r="A561" s="95"/>
      <c r="B561" s="95"/>
      <c r="C561" s="4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spans="1:26" ht="12.75" customHeight="1" x14ac:dyDescent="0.2">
      <c r="A562" s="95"/>
      <c r="B562" s="95"/>
      <c r="C562" s="4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spans="1:26" ht="12.75" customHeight="1" x14ac:dyDescent="0.2">
      <c r="A563" s="95"/>
      <c r="B563" s="95"/>
      <c r="C563" s="4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spans="1:26" ht="12.75" customHeight="1" x14ac:dyDescent="0.2">
      <c r="A564" s="95"/>
      <c r="B564" s="95"/>
      <c r="C564" s="4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spans="1:26" ht="12.75" customHeight="1" x14ac:dyDescent="0.2">
      <c r="A565" s="95"/>
      <c r="B565" s="95"/>
      <c r="C565" s="4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spans="1:26" ht="12.75" customHeight="1" x14ac:dyDescent="0.2">
      <c r="A566" s="95"/>
      <c r="B566" s="95"/>
      <c r="C566" s="4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spans="1:26" ht="12.75" customHeight="1" x14ac:dyDescent="0.2">
      <c r="A567" s="95"/>
      <c r="B567" s="95"/>
      <c r="C567" s="4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spans="1:26" ht="12.75" customHeight="1" x14ac:dyDescent="0.2">
      <c r="A568" s="95"/>
      <c r="B568" s="95"/>
      <c r="C568" s="4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spans="1:26" ht="12.75" customHeight="1" x14ac:dyDescent="0.2">
      <c r="A569" s="95"/>
      <c r="B569" s="95"/>
      <c r="C569" s="4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spans="1:26" ht="12.75" customHeight="1" x14ac:dyDescent="0.2">
      <c r="A570" s="95"/>
      <c r="B570" s="95"/>
      <c r="C570" s="4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spans="1:26" ht="12.75" customHeight="1" x14ac:dyDescent="0.2">
      <c r="A571" s="95"/>
      <c r="B571" s="95"/>
      <c r="C571" s="4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spans="1:26" ht="12.75" customHeight="1" x14ac:dyDescent="0.2">
      <c r="A572" s="95"/>
      <c r="B572" s="95"/>
      <c r="C572" s="4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spans="1:26" ht="12.75" customHeight="1" x14ac:dyDescent="0.2">
      <c r="A573" s="95"/>
      <c r="B573" s="95"/>
      <c r="C573" s="4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spans="1:26" ht="12.75" customHeight="1" x14ac:dyDescent="0.2">
      <c r="A574" s="95"/>
      <c r="B574" s="95"/>
      <c r="C574" s="4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spans="1:26" ht="12.75" customHeight="1" x14ac:dyDescent="0.2">
      <c r="A575" s="95"/>
      <c r="B575" s="95"/>
      <c r="C575" s="4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spans="1:26" ht="12.75" customHeight="1" x14ac:dyDescent="0.2">
      <c r="A576" s="95"/>
      <c r="B576" s="95"/>
      <c r="C576" s="4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spans="1:26" ht="12.75" customHeight="1" x14ac:dyDescent="0.2">
      <c r="A577" s="95"/>
      <c r="B577" s="95"/>
      <c r="C577" s="4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spans="1:26" ht="12.75" customHeight="1" x14ac:dyDescent="0.2">
      <c r="A578" s="95"/>
      <c r="B578" s="95"/>
      <c r="C578" s="4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spans="1:26" ht="12.75" customHeight="1" x14ac:dyDescent="0.2">
      <c r="A579" s="95"/>
      <c r="B579" s="95"/>
      <c r="C579" s="4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spans="1:26" ht="12.75" customHeight="1" x14ac:dyDescent="0.2">
      <c r="A580" s="95"/>
      <c r="B580" s="95"/>
      <c r="C580" s="4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spans="1:26" ht="12.75" customHeight="1" x14ac:dyDescent="0.2">
      <c r="A581" s="95"/>
      <c r="B581" s="95"/>
      <c r="C581" s="4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spans="1:26" ht="12.75" customHeight="1" x14ac:dyDescent="0.2">
      <c r="A582" s="95"/>
      <c r="B582" s="95"/>
      <c r="C582" s="4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spans="1:26" ht="12.75" customHeight="1" x14ac:dyDescent="0.2">
      <c r="A583" s="95"/>
      <c r="B583" s="95"/>
      <c r="C583" s="4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spans="1:26" ht="12.75" customHeight="1" x14ac:dyDescent="0.2">
      <c r="A584" s="95"/>
      <c r="B584" s="95"/>
      <c r="C584" s="4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spans="1:26" ht="12.75" customHeight="1" x14ac:dyDescent="0.2">
      <c r="A585" s="95"/>
      <c r="B585" s="95"/>
      <c r="C585" s="4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spans="1:26" ht="12.75" customHeight="1" x14ac:dyDescent="0.2">
      <c r="A586" s="95"/>
      <c r="B586" s="95"/>
      <c r="C586" s="4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spans="1:26" ht="12.75" customHeight="1" x14ac:dyDescent="0.2">
      <c r="A587" s="95"/>
      <c r="B587" s="95"/>
      <c r="C587" s="4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spans="1:26" ht="12.75" customHeight="1" x14ac:dyDescent="0.2">
      <c r="A588" s="95"/>
      <c r="B588" s="95"/>
      <c r="C588" s="4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spans="1:26" ht="12.75" customHeight="1" x14ac:dyDescent="0.2">
      <c r="A589" s="95"/>
      <c r="B589" s="95"/>
      <c r="C589" s="4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spans="1:26" ht="12.75" customHeight="1" x14ac:dyDescent="0.2">
      <c r="A590" s="95"/>
      <c r="B590" s="95"/>
      <c r="C590" s="4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spans="1:26" ht="12.75" customHeight="1" x14ac:dyDescent="0.2">
      <c r="A591" s="95"/>
      <c r="B591" s="95"/>
      <c r="C591" s="4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spans="1:26" ht="12.75" customHeight="1" x14ac:dyDescent="0.2">
      <c r="A592" s="95"/>
      <c r="B592" s="95"/>
      <c r="C592" s="4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spans="1:26" ht="12.75" customHeight="1" x14ac:dyDescent="0.2">
      <c r="A593" s="95"/>
      <c r="B593" s="95"/>
      <c r="C593" s="4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spans="1:26" ht="12.75" customHeight="1" x14ac:dyDescent="0.2">
      <c r="A594" s="95"/>
      <c r="B594" s="95"/>
      <c r="C594" s="4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spans="1:26" ht="12.75" customHeight="1" x14ac:dyDescent="0.2">
      <c r="A595" s="95"/>
      <c r="B595" s="95"/>
      <c r="C595" s="4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spans="1:26" ht="12.75" customHeight="1" x14ac:dyDescent="0.2">
      <c r="A596" s="95"/>
      <c r="B596" s="95"/>
      <c r="C596" s="4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spans="1:26" ht="12.75" customHeight="1" x14ac:dyDescent="0.2">
      <c r="A597" s="95"/>
      <c r="B597" s="95"/>
      <c r="C597" s="4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spans="1:26" ht="12.75" customHeight="1" x14ac:dyDescent="0.2">
      <c r="A598" s="95"/>
      <c r="B598" s="95"/>
      <c r="C598" s="4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spans="1:26" ht="12.75" customHeight="1" x14ac:dyDescent="0.2">
      <c r="A599" s="95"/>
      <c r="B599" s="95"/>
      <c r="C599" s="4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spans="1:26" ht="12.75" customHeight="1" x14ac:dyDescent="0.2">
      <c r="A600" s="95"/>
      <c r="B600" s="95"/>
      <c r="C600" s="4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spans="1:26" ht="12.75" customHeight="1" x14ac:dyDescent="0.2">
      <c r="A601" s="95"/>
      <c r="B601" s="95"/>
      <c r="C601" s="4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spans="1:26" ht="12.75" customHeight="1" x14ac:dyDescent="0.2">
      <c r="A602" s="95"/>
      <c r="B602" s="95"/>
      <c r="C602" s="4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spans="1:26" ht="12.75" customHeight="1" x14ac:dyDescent="0.2">
      <c r="A603" s="95"/>
      <c r="B603" s="95"/>
      <c r="C603" s="4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spans="1:26" ht="12.75" customHeight="1" x14ac:dyDescent="0.2">
      <c r="A604" s="95"/>
      <c r="B604" s="95"/>
      <c r="C604" s="4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spans="1:26" ht="12.75" customHeight="1" x14ac:dyDescent="0.2">
      <c r="A605" s="95"/>
      <c r="B605" s="95"/>
      <c r="C605" s="4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spans="1:26" ht="12.75" customHeight="1" x14ac:dyDescent="0.2">
      <c r="A606" s="95"/>
      <c r="B606" s="95"/>
      <c r="C606" s="4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spans="1:26" ht="12.75" customHeight="1" x14ac:dyDescent="0.2">
      <c r="A607" s="95"/>
      <c r="B607" s="95"/>
      <c r="C607" s="4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spans="1:26" ht="12.75" customHeight="1" x14ac:dyDescent="0.2">
      <c r="A608" s="95"/>
      <c r="B608" s="95"/>
      <c r="C608" s="4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spans="1:26" ht="12.75" customHeight="1" x14ac:dyDescent="0.2">
      <c r="A609" s="95"/>
      <c r="B609" s="95"/>
      <c r="C609" s="4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spans="1:26" ht="12.75" customHeight="1" x14ac:dyDescent="0.2">
      <c r="A610" s="95"/>
      <c r="B610" s="95"/>
      <c r="C610" s="4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spans="1:26" ht="12.75" customHeight="1" x14ac:dyDescent="0.2">
      <c r="A611" s="95"/>
      <c r="B611" s="95"/>
      <c r="C611" s="4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spans="1:26" ht="12.75" customHeight="1" x14ac:dyDescent="0.2">
      <c r="A612" s="95"/>
      <c r="B612" s="95"/>
      <c r="C612" s="4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spans="1:26" ht="12.75" customHeight="1" x14ac:dyDescent="0.2">
      <c r="A613" s="95"/>
      <c r="B613" s="95"/>
      <c r="C613" s="4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spans="1:26" ht="12.75" customHeight="1" x14ac:dyDescent="0.2">
      <c r="A614" s="95"/>
      <c r="B614" s="95"/>
      <c r="C614" s="4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spans="1:26" ht="12.75" customHeight="1" x14ac:dyDescent="0.2">
      <c r="A615" s="95"/>
      <c r="B615" s="95"/>
      <c r="C615" s="4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spans="1:26" ht="12.75" customHeight="1" x14ac:dyDescent="0.2">
      <c r="A616" s="95"/>
      <c r="B616" s="95"/>
      <c r="C616" s="4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spans="1:26" ht="12.75" customHeight="1" x14ac:dyDescent="0.2">
      <c r="A617" s="95"/>
      <c r="B617" s="95"/>
      <c r="C617" s="4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spans="1:26" ht="12.75" customHeight="1" x14ac:dyDescent="0.2">
      <c r="A618" s="95"/>
      <c r="B618" s="95"/>
      <c r="C618" s="4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spans="1:26" ht="12.75" customHeight="1" x14ac:dyDescent="0.2">
      <c r="A619" s="95"/>
      <c r="B619" s="95"/>
      <c r="C619" s="4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spans="1:26" ht="12.75" customHeight="1" x14ac:dyDescent="0.2">
      <c r="A620" s="95"/>
      <c r="B620" s="95"/>
      <c r="C620" s="4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spans="1:26" ht="12.75" customHeight="1" x14ac:dyDescent="0.2">
      <c r="A621" s="95"/>
      <c r="B621" s="95"/>
      <c r="C621" s="4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spans="1:26" ht="12.75" customHeight="1" x14ac:dyDescent="0.2">
      <c r="A622" s="95"/>
      <c r="B622" s="95"/>
      <c r="C622" s="4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spans="1:26" ht="12.75" customHeight="1" x14ac:dyDescent="0.2">
      <c r="A623" s="95"/>
      <c r="B623" s="95"/>
      <c r="C623" s="4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spans="1:26" ht="12.75" customHeight="1" x14ac:dyDescent="0.2">
      <c r="A624" s="95"/>
      <c r="B624" s="95"/>
      <c r="C624" s="4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spans="1:26" ht="12.75" customHeight="1" x14ac:dyDescent="0.2">
      <c r="A625" s="95"/>
      <c r="B625" s="95"/>
      <c r="C625" s="4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spans="1:26" ht="12.75" customHeight="1" x14ac:dyDescent="0.2">
      <c r="A626" s="95"/>
      <c r="B626" s="95"/>
      <c r="C626" s="4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spans="1:26" ht="12.75" customHeight="1" x14ac:dyDescent="0.2">
      <c r="A627" s="95"/>
      <c r="B627" s="95"/>
      <c r="C627" s="4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spans="1:26" ht="12.75" customHeight="1" x14ac:dyDescent="0.2">
      <c r="A628" s="95"/>
      <c r="B628" s="95"/>
      <c r="C628" s="4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spans="1:26" ht="12.75" customHeight="1" x14ac:dyDescent="0.2">
      <c r="A629" s="95"/>
      <c r="B629" s="95"/>
      <c r="C629" s="4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spans="1:26" ht="12.75" customHeight="1" x14ac:dyDescent="0.2">
      <c r="A630" s="95"/>
      <c r="B630" s="95"/>
      <c r="C630" s="4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spans="1:26" ht="12.75" customHeight="1" x14ac:dyDescent="0.2">
      <c r="A631" s="95"/>
      <c r="B631" s="95"/>
      <c r="C631" s="4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spans="1:26" ht="12.75" customHeight="1" x14ac:dyDescent="0.2">
      <c r="A632" s="95"/>
      <c r="B632" s="95"/>
      <c r="C632" s="4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spans="1:26" ht="12.75" customHeight="1" x14ac:dyDescent="0.2">
      <c r="A633" s="95"/>
      <c r="B633" s="95"/>
      <c r="C633" s="4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spans="1:26" ht="12.75" customHeight="1" x14ac:dyDescent="0.2">
      <c r="A634" s="95"/>
      <c r="B634" s="95"/>
      <c r="C634" s="4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spans="1:26" ht="12.75" customHeight="1" x14ac:dyDescent="0.2">
      <c r="A635" s="95"/>
      <c r="B635" s="95"/>
      <c r="C635" s="4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spans="1:26" ht="12.75" customHeight="1" x14ac:dyDescent="0.2">
      <c r="A636" s="95"/>
      <c r="B636" s="95"/>
      <c r="C636" s="4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spans="1:26" ht="12.75" customHeight="1" x14ac:dyDescent="0.2">
      <c r="A637" s="95"/>
      <c r="B637" s="95"/>
      <c r="C637" s="4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spans="1:26" ht="12.75" customHeight="1" x14ac:dyDescent="0.2">
      <c r="A638" s="95"/>
      <c r="B638" s="95"/>
      <c r="C638" s="4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spans="1:26" ht="12.75" customHeight="1" x14ac:dyDescent="0.2">
      <c r="A639" s="95"/>
      <c r="B639" s="95"/>
      <c r="C639" s="4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spans="1:26" ht="12.75" customHeight="1" x14ac:dyDescent="0.2">
      <c r="A640" s="95"/>
      <c r="B640" s="95"/>
      <c r="C640" s="4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spans="1:26" ht="12.75" customHeight="1" x14ac:dyDescent="0.2">
      <c r="A641" s="95"/>
      <c r="B641" s="95"/>
      <c r="C641" s="4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spans="1:26" ht="12.75" customHeight="1" x14ac:dyDescent="0.2">
      <c r="A642" s="95"/>
      <c r="B642" s="95"/>
      <c r="C642" s="4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spans="1:26" ht="12.75" customHeight="1" x14ac:dyDescent="0.2">
      <c r="A643" s="95"/>
      <c r="B643" s="95"/>
      <c r="C643" s="4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spans="1:26" ht="12.75" customHeight="1" x14ac:dyDescent="0.2">
      <c r="A644" s="95"/>
      <c r="B644" s="95"/>
      <c r="C644" s="4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spans="1:26" ht="12.75" customHeight="1" x14ac:dyDescent="0.2">
      <c r="A645" s="95"/>
      <c r="B645" s="95"/>
      <c r="C645" s="4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spans="1:26" ht="12.75" customHeight="1" x14ac:dyDescent="0.2">
      <c r="A646" s="95"/>
      <c r="B646" s="95"/>
      <c r="C646" s="4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spans="1:26" ht="12.75" customHeight="1" x14ac:dyDescent="0.2">
      <c r="A647" s="95"/>
      <c r="B647" s="95"/>
      <c r="C647" s="4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spans="1:26" ht="12.75" customHeight="1" x14ac:dyDescent="0.2">
      <c r="A648" s="95"/>
      <c r="B648" s="95"/>
      <c r="C648" s="4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spans="1:26" ht="12.75" customHeight="1" x14ac:dyDescent="0.2">
      <c r="A649" s="95"/>
      <c r="B649" s="95"/>
      <c r="C649" s="4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spans="1:26" ht="12.75" customHeight="1" x14ac:dyDescent="0.2">
      <c r="A650" s="95"/>
      <c r="B650" s="95"/>
      <c r="C650" s="4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spans="1:26" ht="12.75" customHeight="1" x14ac:dyDescent="0.2">
      <c r="A651" s="95"/>
      <c r="B651" s="95"/>
      <c r="C651" s="4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spans="1:26" ht="12.75" customHeight="1" x14ac:dyDescent="0.2">
      <c r="A652" s="95"/>
      <c r="B652" s="95"/>
      <c r="C652" s="4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spans="1:26" ht="12.75" customHeight="1" x14ac:dyDescent="0.2">
      <c r="A653" s="95"/>
      <c r="B653" s="95"/>
      <c r="C653" s="4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spans="1:26" ht="12.75" customHeight="1" x14ac:dyDescent="0.2">
      <c r="A654" s="95"/>
      <c r="B654" s="95"/>
      <c r="C654" s="4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spans="1:26" ht="12.75" customHeight="1" x14ac:dyDescent="0.2">
      <c r="A655" s="95"/>
      <c r="B655" s="95"/>
      <c r="C655" s="4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spans="1:26" ht="12.75" customHeight="1" x14ac:dyDescent="0.2">
      <c r="A656" s="95"/>
      <c r="B656" s="95"/>
      <c r="C656" s="4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spans="1:26" ht="12.75" customHeight="1" x14ac:dyDescent="0.2">
      <c r="A657" s="95"/>
      <c r="B657" s="95"/>
      <c r="C657" s="4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spans="1:26" ht="12.75" customHeight="1" x14ac:dyDescent="0.2">
      <c r="A658" s="95"/>
      <c r="B658" s="95"/>
      <c r="C658" s="4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spans="1:26" ht="12.75" customHeight="1" x14ac:dyDescent="0.2">
      <c r="A659" s="95"/>
      <c r="B659" s="95"/>
      <c r="C659" s="4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spans="1:26" ht="12.75" customHeight="1" x14ac:dyDescent="0.2">
      <c r="A660" s="95"/>
      <c r="B660" s="95"/>
      <c r="C660" s="4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spans="1:26" ht="12.75" customHeight="1" x14ac:dyDescent="0.2">
      <c r="A661" s="95"/>
      <c r="B661" s="95"/>
      <c r="C661" s="4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spans="1:26" ht="12.75" customHeight="1" x14ac:dyDescent="0.2">
      <c r="A662" s="95"/>
      <c r="B662" s="95"/>
      <c r="C662" s="4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spans="1:26" ht="12.75" customHeight="1" x14ac:dyDescent="0.2">
      <c r="A663" s="95"/>
      <c r="B663" s="95"/>
      <c r="C663" s="4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spans="1:26" ht="12.75" customHeight="1" x14ac:dyDescent="0.2">
      <c r="A664" s="95"/>
      <c r="B664" s="95"/>
      <c r="C664" s="4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spans="1:26" ht="12.75" customHeight="1" x14ac:dyDescent="0.2">
      <c r="A665" s="95"/>
      <c r="B665" s="95"/>
      <c r="C665" s="4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spans="1:26" ht="12.75" customHeight="1" x14ac:dyDescent="0.2">
      <c r="A666" s="95"/>
      <c r="B666" s="95"/>
      <c r="C666" s="4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spans="1:26" ht="12.75" customHeight="1" x14ac:dyDescent="0.2">
      <c r="A667" s="95"/>
      <c r="B667" s="95"/>
      <c r="C667" s="4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spans="1:26" ht="12.75" customHeight="1" x14ac:dyDescent="0.2">
      <c r="A668" s="95"/>
      <c r="B668" s="95"/>
      <c r="C668" s="4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spans="1:26" ht="12.75" customHeight="1" x14ac:dyDescent="0.2">
      <c r="A669" s="95"/>
      <c r="B669" s="95"/>
      <c r="C669" s="4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spans="1:26" ht="12.75" customHeight="1" x14ac:dyDescent="0.2">
      <c r="A670" s="95"/>
      <c r="B670" s="95"/>
      <c r="C670" s="4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spans="1:26" ht="12.75" customHeight="1" x14ac:dyDescent="0.2">
      <c r="A671" s="95"/>
      <c r="B671" s="95"/>
      <c r="C671" s="4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spans="1:26" ht="12.75" customHeight="1" x14ac:dyDescent="0.2">
      <c r="A672" s="95"/>
      <c r="B672" s="95"/>
      <c r="C672" s="4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spans="1:26" ht="12.75" customHeight="1" x14ac:dyDescent="0.2">
      <c r="A673" s="95"/>
      <c r="B673" s="95"/>
      <c r="C673" s="4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spans="1:26" ht="12.75" customHeight="1" x14ac:dyDescent="0.2">
      <c r="A674" s="95"/>
      <c r="B674" s="95"/>
      <c r="C674" s="4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spans="1:26" ht="12.75" customHeight="1" x14ac:dyDescent="0.2">
      <c r="A675" s="95"/>
      <c r="B675" s="95"/>
      <c r="C675" s="4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spans="1:26" ht="12.75" customHeight="1" x14ac:dyDescent="0.2">
      <c r="A676" s="95"/>
      <c r="B676" s="95"/>
      <c r="C676" s="4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spans="1:26" ht="12.75" customHeight="1" x14ac:dyDescent="0.2">
      <c r="A677" s="95"/>
      <c r="B677" s="95"/>
      <c r="C677" s="4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spans="1:26" ht="12.75" customHeight="1" x14ac:dyDescent="0.2">
      <c r="A678" s="95"/>
      <c r="B678" s="95"/>
      <c r="C678" s="4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spans="1:26" ht="12.75" customHeight="1" x14ac:dyDescent="0.2">
      <c r="A679" s="95"/>
      <c r="B679" s="95"/>
      <c r="C679" s="4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spans="1:26" ht="12.75" customHeight="1" x14ac:dyDescent="0.2">
      <c r="A680" s="95"/>
      <c r="B680" s="95"/>
      <c r="C680" s="4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spans="1:26" ht="12.75" customHeight="1" x14ac:dyDescent="0.2">
      <c r="A681" s="95"/>
      <c r="B681" s="95"/>
      <c r="C681" s="4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spans="1:26" ht="12.75" customHeight="1" x14ac:dyDescent="0.2">
      <c r="A682" s="95"/>
      <c r="B682" s="95"/>
      <c r="C682" s="4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spans="1:26" ht="12.75" customHeight="1" x14ac:dyDescent="0.2">
      <c r="A683" s="95"/>
      <c r="B683" s="95"/>
      <c r="C683" s="4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spans="1:26" ht="12.75" customHeight="1" x14ac:dyDescent="0.2">
      <c r="A684" s="95"/>
      <c r="B684" s="95"/>
      <c r="C684" s="4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spans="1:26" ht="12.75" customHeight="1" x14ac:dyDescent="0.2">
      <c r="A685" s="95"/>
      <c r="B685" s="95"/>
      <c r="C685" s="4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spans="1:26" ht="12.75" customHeight="1" x14ac:dyDescent="0.2">
      <c r="A686" s="95"/>
      <c r="B686" s="95"/>
      <c r="C686" s="4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spans="1:26" ht="12.75" customHeight="1" x14ac:dyDescent="0.2">
      <c r="A687" s="95"/>
      <c r="B687" s="95"/>
      <c r="C687" s="4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spans="1:26" ht="12.75" customHeight="1" x14ac:dyDescent="0.2">
      <c r="A688" s="95"/>
      <c r="B688" s="95"/>
      <c r="C688" s="4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spans="1:26" ht="12.75" customHeight="1" x14ac:dyDescent="0.2">
      <c r="A689" s="95"/>
      <c r="B689" s="95"/>
      <c r="C689" s="4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spans="1:26" ht="12.75" customHeight="1" x14ac:dyDescent="0.2">
      <c r="A690" s="95"/>
      <c r="B690" s="95"/>
      <c r="C690" s="4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spans="1:26" ht="12.75" customHeight="1" x14ac:dyDescent="0.2">
      <c r="A691" s="95"/>
      <c r="B691" s="95"/>
      <c r="C691" s="4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spans="1:26" ht="12.75" customHeight="1" x14ac:dyDescent="0.2">
      <c r="A692" s="95"/>
      <c r="B692" s="95"/>
      <c r="C692" s="4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spans="1:26" ht="12.75" customHeight="1" x14ac:dyDescent="0.2">
      <c r="A693" s="95"/>
      <c r="B693" s="95"/>
      <c r="C693" s="4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spans="1:26" ht="12.75" customHeight="1" x14ac:dyDescent="0.2">
      <c r="A694" s="95"/>
      <c r="B694" s="95"/>
      <c r="C694" s="4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spans="1:26" ht="12.75" customHeight="1" x14ac:dyDescent="0.2">
      <c r="A695" s="95"/>
      <c r="B695" s="95"/>
      <c r="C695" s="4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spans="1:26" ht="12.75" customHeight="1" x14ac:dyDescent="0.2">
      <c r="A696" s="95"/>
      <c r="B696" s="95"/>
      <c r="C696" s="4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spans="1:26" ht="12.75" customHeight="1" x14ac:dyDescent="0.2">
      <c r="A697" s="95"/>
      <c r="B697" s="95"/>
      <c r="C697" s="4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spans="1:26" ht="12.75" customHeight="1" x14ac:dyDescent="0.2">
      <c r="A698" s="95"/>
      <c r="B698" s="95"/>
      <c r="C698" s="4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spans="1:26" ht="12.75" customHeight="1" x14ac:dyDescent="0.2">
      <c r="A699" s="95"/>
      <c r="B699" s="95"/>
      <c r="C699" s="4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spans="1:26" ht="12.75" customHeight="1" x14ac:dyDescent="0.2">
      <c r="A700" s="95"/>
      <c r="B700" s="95"/>
      <c r="C700" s="4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spans="1:26" ht="12.75" customHeight="1" x14ac:dyDescent="0.2">
      <c r="A701" s="95"/>
      <c r="B701" s="95"/>
      <c r="C701" s="4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spans="1:26" ht="12.75" customHeight="1" x14ac:dyDescent="0.2">
      <c r="A702" s="95"/>
      <c r="B702" s="95"/>
      <c r="C702" s="4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spans="1:26" ht="12.75" customHeight="1" x14ac:dyDescent="0.2">
      <c r="A703" s="95"/>
      <c r="B703" s="95"/>
      <c r="C703" s="4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spans="1:26" ht="12.75" customHeight="1" x14ac:dyDescent="0.2">
      <c r="A704" s="95"/>
      <c r="B704" s="95"/>
      <c r="C704" s="4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spans="1:26" ht="12.75" customHeight="1" x14ac:dyDescent="0.2">
      <c r="A705" s="95"/>
      <c r="B705" s="95"/>
      <c r="C705" s="4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spans="1:26" ht="12.75" customHeight="1" x14ac:dyDescent="0.2">
      <c r="A706" s="95"/>
      <c r="B706" s="95"/>
      <c r="C706" s="4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spans="1:26" ht="12.75" customHeight="1" x14ac:dyDescent="0.2">
      <c r="A707" s="95"/>
      <c r="B707" s="95"/>
      <c r="C707" s="4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spans="1:26" ht="12.75" customHeight="1" x14ac:dyDescent="0.2">
      <c r="A708" s="95"/>
      <c r="B708" s="95"/>
      <c r="C708" s="4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spans="1:26" ht="12.75" customHeight="1" x14ac:dyDescent="0.2">
      <c r="A709" s="95"/>
      <c r="B709" s="95"/>
      <c r="C709" s="4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spans="1:26" ht="12.75" customHeight="1" x14ac:dyDescent="0.2">
      <c r="A710" s="95"/>
      <c r="B710" s="95"/>
      <c r="C710" s="4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spans="1:26" ht="12.75" customHeight="1" x14ac:dyDescent="0.2">
      <c r="A711" s="95"/>
      <c r="B711" s="95"/>
      <c r="C711" s="4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spans="1:26" ht="12.75" customHeight="1" x14ac:dyDescent="0.2">
      <c r="A712" s="95"/>
      <c r="B712" s="95"/>
      <c r="C712" s="4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spans="1:26" ht="12.75" customHeight="1" x14ac:dyDescent="0.2">
      <c r="A713" s="95"/>
      <c r="B713" s="95"/>
      <c r="C713" s="4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spans="1:26" ht="12.75" customHeight="1" x14ac:dyDescent="0.2">
      <c r="A714" s="95"/>
      <c r="B714" s="95"/>
      <c r="C714" s="4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spans="1:26" ht="12.75" customHeight="1" x14ac:dyDescent="0.2">
      <c r="A715" s="95"/>
      <c r="B715" s="95"/>
      <c r="C715" s="4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spans="1:26" ht="12.75" customHeight="1" x14ac:dyDescent="0.2">
      <c r="A716" s="95"/>
      <c r="B716" s="95"/>
      <c r="C716" s="4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spans="1:26" ht="12.75" customHeight="1" x14ac:dyDescent="0.2">
      <c r="A717" s="95"/>
      <c r="B717" s="95"/>
      <c r="C717" s="4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spans="1:26" ht="12.75" customHeight="1" x14ac:dyDescent="0.2">
      <c r="A718" s="95"/>
      <c r="B718" s="95"/>
      <c r="C718" s="4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spans="1:26" ht="12.75" customHeight="1" x14ac:dyDescent="0.2">
      <c r="A719" s="95"/>
      <c r="B719" s="95"/>
      <c r="C719" s="4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spans="1:26" ht="12.75" customHeight="1" x14ac:dyDescent="0.2">
      <c r="A720" s="95"/>
      <c r="B720" s="95"/>
      <c r="C720" s="4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spans="1:26" ht="12.75" customHeight="1" x14ac:dyDescent="0.2">
      <c r="A721" s="95"/>
      <c r="B721" s="95"/>
      <c r="C721" s="4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spans="1:26" ht="12.75" customHeight="1" x14ac:dyDescent="0.2">
      <c r="A722" s="95"/>
      <c r="B722" s="95"/>
      <c r="C722" s="4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spans="1:26" ht="12.75" customHeight="1" x14ac:dyDescent="0.2">
      <c r="A723" s="95"/>
      <c r="B723" s="95"/>
      <c r="C723" s="4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spans="1:26" ht="12.75" customHeight="1" x14ac:dyDescent="0.2">
      <c r="A724" s="95"/>
      <c r="B724" s="95"/>
      <c r="C724" s="4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spans="1:26" ht="12.75" customHeight="1" x14ac:dyDescent="0.2">
      <c r="A725" s="95"/>
      <c r="B725" s="95"/>
      <c r="C725" s="4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spans="1:26" ht="12.75" customHeight="1" x14ac:dyDescent="0.2">
      <c r="A726" s="95"/>
      <c r="B726" s="95"/>
      <c r="C726" s="4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spans="1:26" ht="12.75" customHeight="1" x14ac:dyDescent="0.2">
      <c r="A727" s="95"/>
      <c r="B727" s="95"/>
      <c r="C727" s="4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spans="1:26" ht="12.75" customHeight="1" x14ac:dyDescent="0.2">
      <c r="A728" s="95"/>
      <c r="B728" s="95"/>
      <c r="C728" s="4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spans="1:26" ht="12.75" customHeight="1" x14ac:dyDescent="0.2">
      <c r="A729" s="95"/>
      <c r="B729" s="95"/>
      <c r="C729" s="4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spans="1:26" ht="12.75" customHeight="1" x14ac:dyDescent="0.2">
      <c r="A730" s="95"/>
      <c r="B730" s="95"/>
      <c r="C730" s="4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spans="1:26" ht="12.75" customHeight="1" x14ac:dyDescent="0.2">
      <c r="A731" s="95"/>
      <c r="B731" s="95"/>
      <c r="C731" s="4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spans="1:26" ht="12.75" customHeight="1" x14ac:dyDescent="0.2">
      <c r="A732" s="95"/>
      <c r="B732" s="95"/>
      <c r="C732" s="4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spans="1:26" ht="12.75" customHeight="1" x14ac:dyDescent="0.2">
      <c r="A733" s="95"/>
      <c r="B733" s="95"/>
      <c r="C733" s="4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spans="1:26" ht="12.75" customHeight="1" x14ac:dyDescent="0.2">
      <c r="A734" s="95"/>
      <c r="B734" s="95"/>
      <c r="C734" s="4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spans="1:26" ht="12.75" customHeight="1" x14ac:dyDescent="0.2">
      <c r="A735" s="95"/>
      <c r="B735" s="95"/>
      <c r="C735" s="4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spans="1:26" ht="12.75" customHeight="1" x14ac:dyDescent="0.2">
      <c r="A736" s="95"/>
      <c r="B736" s="95"/>
      <c r="C736" s="4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spans="1:26" ht="12.75" customHeight="1" x14ac:dyDescent="0.2">
      <c r="A737" s="95"/>
      <c r="B737" s="95"/>
      <c r="C737" s="4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spans="1:26" ht="12.75" customHeight="1" x14ac:dyDescent="0.2">
      <c r="A738" s="95"/>
      <c r="B738" s="95"/>
      <c r="C738" s="4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spans="1:26" ht="12.75" customHeight="1" x14ac:dyDescent="0.2">
      <c r="A739" s="95"/>
      <c r="B739" s="95"/>
      <c r="C739" s="4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spans="1:26" ht="12.75" customHeight="1" x14ac:dyDescent="0.2">
      <c r="A740" s="95"/>
      <c r="B740" s="95"/>
      <c r="C740" s="4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spans="1:26" ht="12.75" customHeight="1" x14ac:dyDescent="0.2">
      <c r="A741" s="95"/>
      <c r="B741" s="95"/>
      <c r="C741" s="4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spans="1:26" ht="12.75" customHeight="1" x14ac:dyDescent="0.2">
      <c r="A742" s="95"/>
      <c r="B742" s="95"/>
      <c r="C742" s="4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spans="1:26" ht="12.75" customHeight="1" x14ac:dyDescent="0.2">
      <c r="A743" s="95"/>
      <c r="B743" s="95"/>
      <c r="C743" s="4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spans="1:26" ht="12.75" customHeight="1" x14ac:dyDescent="0.2">
      <c r="A744" s="95"/>
      <c r="B744" s="95"/>
      <c r="C744" s="4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spans="1:26" ht="12.75" customHeight="1" x14ac:dyDescent="0.2">
      <c r="A745" s="95"/>
      <c r="B745" s="95"/>
      <c r="C745" s="4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spans="1:26" ht="12.75" customHeight="1" x14ac:dyDescent="0.2">
      <c r="A746" s="95"/>
      <c r="B746" s="95"/>
      <c r="C746" s="4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spans="1:26" ht="12.75" customHeight="1" x14ac:dyDescent="0.2">
      <c r="A747" s="95"/>
      <c r="B747" s="95"/>
      <c r="C747" s="4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spans="1:26" ht="12.75" customHeight="1" x14ac:dyDescent="0.2">
      <c r="A748" s="95"/>
      <c r="B748" s="95"/>
      <c r="C748" s="4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spans="1:26" ht="12.75" customHeight="1" x14ac:dyDescent="0.2">
      <c r="A749" s="95"/>
      <c r="B749" s="95"/>
      <c r="C749" s="4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spans="1:26" ht="12.75" customHeight="1" x14ac:dyDescent="0.2">
      <c r="A750" s="95"/>
      <c r="B750" s="95"/>
      <c r="C750" s="4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spans="1:26" ht="12.75" customHeight="1" x14ac:dyDescent="0.2">
      <c r="A751" s="95"/>
      <c r="B751" s="95"/>
      <c r="C751" s="4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spans="1:26" ht="12.75" customHeight="1" x14ac:dyDescent="0.2">
      <c r="A752" s="95"/>
      <c r="B752" s="95"/>
      <c r="C752" s="4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spans="1:26" ht="12.75" customHeight="1" x14ac:dyDescent="0.2">
      <c r="A753" s="95"/>
      <c r="B753" s="95"/>
      <c r="C753" s="4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spans="1:26" ht="12.75" customHeight="1" x14ac:dyDescent="0.2">
      <c r="A754" s="95"/>
      <c r="B754" s="95"/>
      <c r="C754" s="4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spans="1:26" ht="12.75" customHeight="1" x14ac:dyDescent="0.2">
      <c r="A755" s="95"/>
      <c r="B755" s="95"/>
      <c r="C755" s="4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spans="1:26" ht="12.75" customHeight="1" x14ac:dyDescent="0.2">
      <c r="A756" s="95"/>
      <c r="B756" s="95"/>
      <c r="C756" s="4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spans="1:26" ht="12.75" customHeight="1" x14ac:dyDescent="0.2">
      <c r="A757" s="95"/>
      <c r="B757" s="95"/>
      <c r="C757" s="4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spans="1:26" ht="12.75" customHeight="1" x14ac:dyDescent="0.2">
      <c r="A758" s="95"/>
      <c r="B758" s="95"/>
      <c r="C758" s="4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spans="1:26" ht="12.75" customHeight="1" x14ac:dyDescent="0.2">
      <c r="A759" s="95"/>
      <c r="B759" s="95"/>
      <c r="C759" s="4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spans="1:26" ht="12.75" customHeight="1" x14ac:dyDescent="0.2">
      <c r="A760" s="95"/>
      <c r="B760" s="95"/>
      <c r="C760" s="4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spans="1:26" ht="12.75" customHeight="1" x14ac:dyDescent="0.2">
      <c r="A761" s="95"/>
      <c r="B761" s="95"/>
      <c r="C761" s="4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spans="1:26" ht="12.75" customHeight="1" x14ac:dyDescent="0.2">
      <c r="A762" s="95"/>
      <c r="B762" s="95"/>
      <c r="C762" s="4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spans="1:26" ht="12.75" customHeight="1" x14ac:dyDescent="0.2">
      <c r="A763" s="95"/>
      <c r="B763" s="95"/>
      <c r="C763" s="4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spans="1:26" ht="12.75" customHeight="1" x14ac:dyDescent="0.2">
      <c r="A764" s="95"/>
      <c r="B764" s="95"/>
      <c r="C764" s="4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spans="1:26" ht="12.75" customHeight="1" x14ac:dyDescent="0.2">
      <c r="A765" s="95"/>
      <c r="B765" s="95"/>
      <c r="C765" s="4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spans="1:26" ht="12.75" customHeight="1" x14ac:dyDescent="0.2">
      <c r="A766" s="95"/>
      <c r="B766" s="95"/>
      <c r="C766" s="4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spans="1:26" ht="12.75" customHeight="1" x14ac:dyDescent="0.2">
      <c r="A767" s="95"/>
      <c r="B767" s="95"/>
      <c r="C767" s="4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spans="1:26" ht="12.75" customHeight="1" x14ac:dyDescent="0.2">
      <c r="A768" s="95"/>
      <c r="B768" s="95"/>
      <c r="C768" s="4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spans="1:26" ht="12.75" customHeight="1" x14ac:dyDescent="0.2">
      <c r="A769" s="95"/>
      <c r="B769" s="95"/>
      <c r="C769" s="4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spans="1:26" ht="12.75" customHeight="1" x14ac:dyDescent="0.2">
      <c r="A770" s="95"/>
      <c r="B770" s="95"/>
      <c r="C770" s="4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spans="1:26" ht="12.75" customHeight="1" x14ac:dyDescent="0.2">
      <c r="A771" s="95"/>
      <c r="B771" s="95"/>
      <c r="C771" s="4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spans="1:26" ht="12.75" customHeight="1" x14ac:dyDescent="0.2">
      <c r="A772" s="95"/>
      <c r="B772" s="95"/>
      <c r="C772" s="4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spans="1:26" ht="12.75" customHeight="1" x14ac:dyDescent="0.2">
      <c r="A773" s="95"/>
      <c r="B773" s="95"/>
      <c r="C773" s="4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spans="1:26" ht="12.75" customHeight="1" x14ac:dyDescent="0.2">
      <c r="A774" s="95"/>
      <c r="B774" s="95"/>
      <c r="C774" s="4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spans="1:26" ht="12.75" customHeight="1" x14ac:dyDescent="0.2">
      <c r="A775" s="95"/>
      <c r="B775" s="95"/>
      <c r="C775" s="4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spans="1:26" ht="12.75" customHeight="1" x14ac:dyDescent="0.2">
      <c r="A776" s="95"/>
      <c r="B776" s="95"/>
      <c r="C776" s="4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spans="1:26" ht="12.75" customHeight="1" x14ac:dyDescent="0.2">
      <c r="A777" s="95"/>
      <c r="B777" s="95"/>
      <c r="C777" s="4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spans="1:26" ht="12.75" customHeight="1" x14ac:dyDescent="0.2">
      <c r="A778" s="95"/>
      <c r="B778" s="95"/>
      <c r="C778" s="4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spans="1:26" ht="12.75" customHeight="1" x14ac:dyDescent="0.2">
      <c r="A779" s="95"/>
      <c r="B779" s="95"/>
      <c r="C779" s="4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spans="1:26" ht="12.75" customHeight="1" x14ac:dyDescent="0.2">
      <c r="A780" s="95"/>
      <c r="B780" s="95"/>
      <c r="C780" s="4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spans="1:26" ht="12.75" customHeight="1" x14ac:dyDescent="0.2">
      <c r="A781" s="95"/>
      <c r="B781" s="95"/>
      <c r="C781" s="4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spans="1:26" ht="12.75" customHeight="1" x14ac:dyDescent="0.2">
      <c r="A782" s="95"/>
      <c r="B782" s="95"/>
      <c r="C782" s="4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spans="1:26" ht="12.75" customHeight="1" x14ac:dyDescent="0.2">
      <c r="A783" s="95"/>
      <c r="B783" s="95"/>
      <c r="C783" s="4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spans="1:26" ht="12.75" customHeight="1" x14ac:dyDescent="0.2">
      <c r="A784" s="95"/>
      <c r="B784" s="95"/>
      <c r="C784" s="4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spans="1:26" ht="12.75" customHeight="1" x14ac:dyDescent="0.2">
      <c r="A785" s="95"/>
      <c r="B785" s="95"/>
      <c r="C785" s="4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spans="1:26" ht="12.75" customHeight="1" x14ac:dyDescent="0.2">
      <c r="A786" s="95"/>
      <c r="B786" s="95"/>
      <c r="C786" s="4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spans="1:26" ht="12.75" customHeight="1" x14ac:dyDescent="0.2">
      <c r="A787" s="95"/>
      <c r="B787" s="95"/>
      <c r="C787" s="4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spans="1:26" ht="12.75" customHeight="1" x14ac:dyDescent="0.2">
      <c r="A788" s="95"/>
      <c r="B788" s="95"/>
      <c r="C788" s="4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spans="1:26" ht="12.75" customHeight="1" x14ac:dyDescent="0.2">
      <c r="A789" s="95"/>
      <c r="B789" s="95"/>
      <c r="C789" s="4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spans="1:26" ht="12.75" customHeight="1" x14ac:dyDescent="0.2">
      <c r="A790" s="95"/>
      <c r="B790" s="95"/>
      <c r="C790" s="4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spans="1:26" ht="12.75" customHeight="1" x14ac:dyDescent="0.2">
      <c r="A791" s="95"/>
      <c r="B791" s="95"/>
      <c r="C791" s="4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spans="1:26" ht="12.75" customHeight="1" x14ac:dyDescent="0.2">
      <c r="A792" s="95"/>
      <c r="B792" s="95"/>
      <c r="C792" s="4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spans="1:26" ht="12.75" customHeight="1" x14ac:dyDescent="0.2">
      <c r="A793" s="95"/>
      <c r="B793" s="95"/>
      <c r="C793" s="4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spans="1:26" ht="12.75" customHeight="1" x14ac:dyDescent="0.2">
      <c r="A794" s="95"/>
      <c r="B794" s="95"/>
      <c r="C794" s="4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spans="1:26" ht="12.75" customHeight="1" x14ac:dyDescent="0.2">
      <c r="A795" s="95"/>
      <c r="B795" s="95"/>
      <c r="C795" s="4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spans="1:26" ht="12.75" customHeight="1" x14ac:dyDescent="0.2">
      <c r="A796" s="95"/>
      <c r="B796" s="95"/>
      <c r="C796" s="4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spans="1:26" ht="12.75" customHeight="1" x14ac:dyDescent="0.2">
      <c r="A797" s="95"/>
      <c r="B797" s="95"/>
      <c r="C797" s="4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spans="1:26" ht="12.75" customHeight="1" x14ac:dyDescent="0.2">
      <c r="A798" s="95"/>
      <c r="B798" s="95"/>
      <c r="C798" s="4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spans="1:26" ht="12.75" customHeight="1" x14ac:dyDescent="0.2">
      <c r="A799" s="95"/>
      <c r="B799" s="95"/>
      <c r="C799" s="4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spans="1:26" ht="12.75" customHeight="1" x14ac:dyDescent="0.2">
      <c r="A800" s="95"/>
      <c r="B800" s="95"/>
      <c r="C800" s="4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spans="1:26" ht="12.75" customHeight="1" x14ac:dyDescent="0.2">
      <c r="A801" s="95"/>
      <c r="B801" s="95"/>
      <c r="C801" s="4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spans="1:26" ht="12.75" customHeight="1" x14ac:dyDescent="0.2">
      <c r="A802" s="95"/>
      <c r="B802" s="95"/>
      <c r="C802" s="4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spans="1:26" ht="12.75" customHeight="1" x14ac:dyDescent="0.2">
      <c r="A803" s="95"/>
      <c r="B803" s="95"/>
      <c r="C803" s="4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spans="1:26" ht="12.75" customHeight="1" x14ac:dyDescent="0.2">
      <c r="A804" s="95"/>
      <c r="B804" s="95"/>
      <c r="C804" s="4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spans="1:26" ht="12.75" customHeight="1" x14ac:dyDescent="0.2">
      <c r="A805" s="95"/>
      <c r="B805" s="95"/>
      <c r="C805" s="4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spans="1:26" ht="12.75" customHeight="1" x14ac:dyDescent="0.2">
      <c r="A806" s="95"/>
      <c r="B806" s="95"/>
      <c r="C806" s="4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spans="1:26" ht="12.75" customHeight="1" x14ac:dyDescent="0.2">
      <c r="A807" s="95"/>
      <c r="B807" s="95"/>
      <c r="C807" s="4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spans="1:26" ht="12.75" customHeight="1" x14ac:dyDescent="0.2">
      <c r="A808" s="95"/>
      <c r="B808" s="95"/>
      <c r="C808" s="4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spans="1:26" ht="12.75" customHeight="1" x14ac:dyDescent="0.2">
      <c r="A809" s="95"/>
      <c r="B809" s="95"/>
      <c r="C809" s="4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spans="1:26" ht="12.75" customHeight="1" x14ac:dyDescent="0.2">
      <c r="A810" s="95"/>
      <c r="B810" s="95"/>
      <c r="C810" s="4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spans="1:26" ht="12.75" customHeight="1" x14ac:dyDescent="0.2">
      <c r="A811" s="95"/>
      <c r="B811" s="95"/>
      <c r="C811" s="4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spans="1:26" ht="12.75" customHeight="1" x14ac:dyDescent="0.2">
      <c r="A812" s="95"/>
      <c r="B812" s="95"/>
      <c r="C812" s="4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spans="1:26" ht="12.75" customHeight="1" x14ac:dyDescent="0.2">
      <c r="A813" s="95"/>
      <c r="B813" s="95"/>
      <c r="C813" s="4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spans="1:26" ht="12.75" customHeight="1" x14ac:dyDescent="0.2">
      <c r="A814" s="95"/>
      <c r="B814" s="95"/>
      <c r="C814" s="4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spans="1:26" ht="12.75" customHeight="1" x14ac:dyDescent="0.2">
      <c r="A815" s="95"/>
      <c r="B815" s="95"/>
      <c r="C815" s="4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spans="1:26" ht="12.75" customHeight="1" x14ac:dyDescent="0.2">
      <c r="A816" s="95"/>
      <c r="B816" s="95"/>
      <c r="C816" s="4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spans="1:26" ht="12.75" customHeight="1" x14ac:dyDescent="0.2">
      <c r="A817" s="95"/>
      <c r="B817" s="95"/>
      <c r="C817" s="4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spans="1:26" ht="12.75" customHeight="1" x14ac:dyDescent="0.2">
      <c r="A818" s="95"/>
      <c r="B818" s="95"/>
      <c r="C818" s="4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spans="1:26" ht="12.75" customHeight="1" x14ac:dyDescent="0.2">
      <c r="A819" s="95"/>
      <c r="B819" s="95"/>
      <c r="C819" s="4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spans="1:26" ht="12.75" customHeight="1" x14ac:dyDescent="0.2">
      <c r="A820" s="95"/>
      <c r="B820" s="95"/>
      <c r="C820" s="4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spans="1:26" ht="12.75" customHeight="1" x14ac:dyDescent="0.2">
      <c r="A821" s="95"/>
      <c r="B821" s="95"/>
      <c r="C821" s="4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spans="1:26" ht="12.75" customHeight="1" x14ac:dyDescent="0.2">
      <c r="A822" s="95"/>
      <c r="B822" s="95"/>
      <c r="C822" s="4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spans="1:26" ht="12.75" customHeight="1" x14ac:dyDescent="0.2">
      <c r="A823" s="95"/>
      <c r="B823" s="95"/>
      <c r="C823" s="4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spans="1:26" ht="12.75" customHeight="1" x14ac:dyDescent="0.2">
      <c r="A824" s="95"/>
      <c r="B824" s="95"/>
      <c r="C824" s="4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spans="1:26" ht="12.75" customHeight="1" x14ac:dyDescent="0.2">
      <c r="A825" s="95"/>
      <c r="B825" s="95"/>
      <c r="C825" s="4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spans="1:26" ht="12.75" customHeight="1" x14ac:dyDescent="0.2">
      <c r="A826" s="95"/>
      <c r="B826" s="95"/>
      <c r="C826" s="4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spans="1:26" ht="12.75" customHeight="1" x14ac:dyDescent="0.2">
      <c r="A827" s="95"/>
      <c r="B827" s="95"/>
      <c r="C827" s="4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spans="1:26" ht="12.75" customHeight="1" x14ac:dyDescent="0.2">
      <c r="A828" s="95"/>
      <c r="B828" s="95"/>
      <c r="C828" s="4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spans="1:26" ht="12.75" customHeight="1" x14ac:dyDescent="0.2">
      <c r="A829" s="95"/>
      <c r="B829" s="95"/>
      <c r="C829" s="4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spans="1:26" ht="12.75" customHeight="1" x14ac:dyDescent="0.2">
      <c r="A830" s="95"/>
      <c r="B830" s="95"/>
      <c r="C830" s="4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spans="1:26" ht="12.75" customHeight="1" x14ac:dyDescent="0.2">
      <c r="A831" s="95"/>
      <c r="B831" s="95"/>
      <c r="C831" s="4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spans="1:26" ht="12.75" customHeight="1" x14ac:dyDescent="0.2">
      <c r="A832" s="95"/>
      <c r="B832" s="95"/>
      <c r="C832" s="4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spans="1:26" ht="12.75" customHeight="1" x14ac:dyDescent="0.2">
      <c r="A833" s="95"/>
      <c r="B833" s="95"/>
      <c r="C833" s="4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spans="1:26" ht="12.75" customHeight="1" x14ac:dyDescent="0.2">
      <c r="A834" s="95"/>
      <c r="B834" s="95"/>
      <c r="C834" s="4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spans="1:26" ht="12.75" customHeight="1" x14ac:dyDescent="0.2">
      <c r="A835" s="95"/>
      <c r="B835" s="95"/>
      <c r="C835" s="4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spans="1:26" ht="12.75" customHeight="1" x14ac:dyDescent="0.2">
      <c r="A836" s="95"/>
      <c r="B836" s="95"/>
      <c r="C836" s="4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spans="1:26" ht="12.75" customHeight="1" x14ac:dyDescent="0.2">
      <c r="A837" s="95"/>
      <c r="B837" s="95"/>
      <c r="C837" s="4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spans="1:26" ht="12.75" customHeight="1" x14ac:dyDescent="0.2">
      <c r="A838" s="95"/>
      <c r="B838" s="95"/>
      <c r="C838" s="4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spans="1:26" ht="12.75" customHeight="1" x14ac:dyDescent="0.2">
      <c r="A839" s="95"/>
      <c r="B839" s="95"/>
      <c r="C839" s="4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spans="1:26" ht="12.75" customHeight="1" x14ac:dyDescent="0.2">
      <c r="A840" s="95"/>
      <c r="B840" s="95"/>
      <c r="C840" s="4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spans="1:26" ht="12.75" customHeight="1" x14ac:dyDescent="0.2">
      <c r="A841" s="95"/>
      <c r="B841" s="95"/>
      <c r="C841" s="4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spans="1:26" ht="12.75" customHeight="1" x14ac:dyDescent="0.2">
      <c r="A842" s="95"/>
      <c r="B842" s="95"/>
      <c r="C842" s="4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spans="1:26" ht="12.75" customHeight="1" x14ac:dyDescent="0.2">
      <c r="A843" s="95"/>
      <c r="B843" s="95"/>
      <c r="C843" s="4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spans="1:26" ht="12.75" customHeight="1" x14ac:dyDescent="0.2">
      <c r="A844" s="95"/>
      <c r="B844" s="95"/>
      <c r="C844" s="4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spans="1:26" ht="12.75" customHeight="1" x14ac:dyDescent="0.2">
      <c r="A845" s="95"/>
      <c r="B845" s="95"/>
      <c r="C845" s="4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spans="1:26" ht="12.75" customHeight="1" x14ac:dyDescent="0.2">
      <c r="A846" s="95"/>
      <c r="B846" s="95"/>
      <c r="C846" s="4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spans="1:26" ht="12.75" customHeight="1" x14ac:dyDescent="0.2">
      <c r="A847" s="95"/>
      <c r="B847" s="95"/>
      <c r="C847" s="4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spans="1:26" ht="12.75" customHeight="1" x14ac:dyDescent="0.2">
      <c r="A848" s="95"/>
      <c r="B848" s="95"/>
      <c r="C848" s="4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spans="1:26" ht="12.75" customHeight="1" x14ac:dyDescent="0.2">
      <c r="A849" s="95"/>
      <c r="B849" s="95"/>
      <c r="C849" s="4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spans="1:26" ht="12.75" customHeight="1" x14ac:dyDescent="0.2">
      <c r="A850" s="95"/>
      <c r="B850" s="95"/>
      <c r="C850" s="4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spans="1:26" ht="12.75" customHeight="1" x14ac:dyDescent="0.2">
      <c r="A851" s="95"/>
      <c r="B851" s="95"/>
      <c r="C851" s="4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spans="1:26" ht="12.75" customHeight="1" x14ac:dyDescent="0.2">
      <c r="A852" s="95"/>
      <c r="B852" s="95"/>
      <c r="C852" s="4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spans="1:26" ht="12.75" customHeight="1" x14ac:dyDescent="0.2">
      <c r="A853" s="95"/>
      <c r="B853" s="95"/>
      <c r="C853" s="4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spans="1:26" ht="12.75" customHeight="1" x14ac:dyDescent="0.2">
      <c r="A854" s="95"/>
      <c r="B854" s="95"/>
      <c r="C854" s="4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spans="1:26" ht="12.75" customHeight="1" x14ac:dyDescent="0.2">
      <c r="A855" s="95"/>
      <c r="B855" s="95"/>
      <c r="C855" s="4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spans="1:26" ht="12.75" customHeight="1" x14ac:dyDescent="0.2">
      <c r="A856" s="95"/>
      <c r="B856" s="95"/>
      <c r="C856" s="4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spans="1:26" ht="12.75" customHeight="1" x14ac:dyDescent="0.2">
      <c r="A857" s="95"/>
      <c r="B857" s="95"/>
      <c r="C857" s="4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spans="1:26" ht="12.75" customHeight="1" x14ac:dyDescent="0.2">
      <c r="A858" s="95"/>
      <c r="B858" s="95"/>
      <c r="C858" s="4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spans="1:26" ht="12.75" customHeight="1" x14ac:dyDescent="0.2">
      <c r="A859" s="95"/>
      <c r="B859" s="95"/>
      <c r="C859" s="4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spans="1:26" ht="12.75" customHeight="1" x14ac:dyDescent="0.2">
      <c r="A860" s="95"/>
      <c r="B860" s="95"/>
      <c r="C860" s="4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spans="1:26" ht="12.75" customHeight="1" x14ac:dyDescent="0.2">
      <c r="A861" s="95"/>
      <c r="B861" s="95"/>
      <c r="C861" s="4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spans="1:26" ht="12.75" customHeight="1" x14ac:dyDescent="0.2">
      <c r="A862" s="95"/>
      <c r="B862" s="95"/>
      <c r="C862" s="4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spans="1:26" ht="12.75" customHeight="1" x14ac:dyDescent="0.2">
      <c r="A863" s="95"/>
      <c r="B863" s="95"/>
      <c r="C863" s="4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spans="1:26" ht="12.75" customHeight="1" x14ac:dyDescent="0.2">
      <c r="A864" s="95"/>
      <c r="B864" s="95"/>
      <c r="C864" s="4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spans="1:26" ht="12.75" customHeight="1" x14ac:dyDescent="0.2">
      <c r="A865" s="95"/>
      <c r="B865" s="95"/>
      <c r="C865" s="4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spans="1:26" ht="12.75" customHeight="1" x14ac:dyDescent="0.2">
      <c r="A866" s="95"/>
      <c r="B866" s="95"/>
      <c r="C866" s="4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spans="1:26" ht="12.75" customHeight="1" x14ac:dyDescent="0.2">
      <c r="A867" s="95"/>
      <c r="B867" s="95"/>
      <c r="C867" s="4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spans="1:26" ht="12.75" customHeight="1" x14ac:dyDescent="0.2">
      <c r="A868" s="95"/>
      <c r="B868" s="95"/>
      <c r="C868" s="4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spans="1:26" ht="12.75" customHeight="1" x14ac:dyDescent="0.2">
      <c r="A869" s="95"/>
      <c r="B869" s="95"/>
      <c r="C869" s="4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spans="1:26" ht="12.75" customHeight="1" x14ac:dyDescent="0.2">
      <c r="A870" s="95"/>
      <c r="B870" s="95"/>
      <c r="C870" s="4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spans="1:26" ht="12.75" customHeight="1" x14ac:dyDescent="0.2">
      <c r="A871" s="95"/>
      <c r="B871" s="95"/>
      <c r="C871" s="4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spans="1:26" ht="12.75" customHeight="1" x14ac:dyDescent="0.2">
      <c r="A872" s="95"/>
      <c r="B872" s="95"/>
      <c r="C872" s="4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spans="1:26" ht="12.75" customHeight="1" x14ac:dyDescent="0.2">
      <c r="A873" s="95"/>
      <c r="B873" s="95"/>
      <c r="C873" s="4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spans="1:26" ht="12.75" customHeight="1" x14ac:dyDescent="0.2">
      <c r="A874" s="95"/>
      <c r="B874" s="95"/>
      <c r="C874" s="4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spans="1:26" ht="12.75" customHeight="1" x14ac:dyDescent="0.2">
      <c r="A875" s="95"/>
      <c r="B875" s="95"/>
      <c r="C875" s="4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spans="1:26" ht="12.75" customHeight="1" x14ac:dyDescent="0.2">
      <c r="A876" s="95"/>
      <c r="B876" s="95"/>
      <c r="C876" s="4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spans="1:26" ht="12.75" customHeight="1" x14ac:dyDescent="0.2">
      <c r="A877" s="95"/>
      <c r="B877" s="95"/>
      <c r="C877" s="4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spans="1:26" ht="12.75" customHeight="1" x14ac:dyDescent="0.2">
      <c r="A878" s="95"/>
      <c r="B878" s="95"/>
      <c r="C878" s="4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spans="1:26" ht="12.75" customHeight="1" x14ac:dyDescent="0.2">
      <c r="A879" s="95"/>
      <c r="B879" s="95"/>
      <c r="C879" s="4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spans="1:26" ht="12.75" customHeight="1" x14ac:dyDescent="0.2">
      <c r="A880" s="95"/>
      <c r="B880" s="95"/>
      <c r="C880" s="4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spans="1:26" ht="12.75" customHeight="1" x14ac:dyDescent="0.2">
      <c r="A881" s="95"/>
      <c r="B881" s="95"/>
      <c r="C881" s="4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spans="1:26" ht="12.75" customHeight="1" x14ac:dyDescent="0.2">
      <c r="A882" s="95"/>
      <c r="B882" s="95"/>
      <c r="C882" s="4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spans="1:26" ht="12.75" customHeight="1" x14ac:dyDescent="0.2">
      <c r="A883" s="95"/>
      <c r="B883" s="95"/>
      <c r="C883" s="4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spans="1:26" ht="12.75" customHeight="1" x14ac:dyDescent="0.2">
      <c r="A884" s="95"/>
      <c r="B884" s="95"/>
      <c r="C884" s="4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spans="1:26" ht="12.75" customHeight="1" x14ac:dyDescent="0.2">
      <c r="A885" s="95"/>
      <c r="B885" s="95"/>
      <c r="C885" s="4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spans="1:26" ht="12.75" customHeight="1" x14ac:dyDescent="0.2">
      <c r="A886" s="95"/>
      <c r="B886" s="95"/>
      <c r="C886" s="4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spans="1:26" ht="12.75" customHeight="1" x14ac:dyDescent="0.2">
      <c r="A887" s="95"/>
      <c r="B887" s="95"/>
      <c r="C887" s="4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spans="1:26" ht="12.75" customHeight="1" x14ac:dyDescent="0.2">
      <c r="A888" s="95"/>
      <c r="B888" s="95"/>
      <c r="C888" s="4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spans="1:26" ht="12.75" customHeight="1" x14ac:dyDescent="0.2">
      <c r="A889" s="95"/>
      <c r="B889" s="95"/>
      <c r="C889" s="4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spans="1:26" ht="12.75" customHeight="1" x14ac:dyDescent="0.2">
      <c r="A890" s="95"/>
      <c r="B890" s="95"/>
      <c r="C890" s="4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spans="1:26" ht="12.75" customHeight="1" x14ac:dyDescent="0.2">
      <c r="A891" s="95"/>
      <c r="B891" s="95"/>
      <c r="C891" s="4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spans="1:26" ht="12.75" customHeight="1" x14ac:dyDescent="0.2">
      <c r="A892" s="95"/>
      <c r="B892" s="95"/>
      <c r="C892" s="4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spans="1:26" ht="12.75" customHeight="1" x14ac:dyDescent="0.2">
      <c r="A893" s="95"/>
      <c r="B893" s="95"/>
      <c r="C893" s="4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spans="1:26" ht="12.75" customHeight="1" x14ac:dyDescent="0.2">
      <c r="A894" s="95"/>
      <c r="B894" s="95"/>
      <c r="C894" s="4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spans="1:26" ht="12.75" customHeight="1" x14ac:dyDescent="0.2">
      <c r="A895" s="95"/>
      <c r="B895" s="95"/>
      <c r="C895" s="4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spans="1:26" ht="12.75" customHeight="1" x14ac:dyDescent="0.2">
      <c r="A896" s="95"/>
      <c r="B896" s="95"/>
      <c r="C896" s="4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spans="1:26" ht="12.75" customHeight="1" x14ac:dyDescent="0.2">
      <c r="A897" s="95"/>
      <c r="B897" s="95"/>
      <c r="C897" s="4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spans="1:26" ht="12.75" customHeight="1" x14ac:dyDescent="0.2">
      <c r="A898" s="95"/>
      <c r="B898" s="95"/>
      <c r="C898" s="4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spans="1:26" ht="12.75" customHeight="1" x14ac:dyDescent="0.2">
      <c r="A899" s="95"/>
      <c r="B899" s="95"/>
      <c r="C899" s="4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spans="1:26" ht="12.75" customHeight="1" x14ac:dyDescent="0.2">
      <c r="A900" s="95"/>
      <c r="B900" s="95"/>
      <c r="C900" s="4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spans="1:26" ht="12.75" customHeight="1" x14ac:dyDescent="0.2">
      <c r="A901" s="95"/>
      <c r="B901" s="95"/>
      <c r="C901" s="4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spans="1:26" ht="12.75" customHeight="1" x14ac:dyDescent="0.2">
      <c r="A902" s="95"/>
      <c r="B902" s="95"/>
      <c r="C902" s="4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spans="1:26" ht="12.75" customHeight="1" x14ac:dyDescent="0.2">
      <c r="A903" s="95"/>
      <c r="B903" s="95"/>
      <c r="C903" s="4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spans="1:26" ht="12.75" customHeight="1" x14ac:dyDescent="0.2">
      <c r="A904" s="95"/>
      <c r="B904" s="95"/>
      <c r="C904" s="4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spans="1:26" ht="12.75" customHeight="1" x14ac:dyDescent="0.2">
      <c r="A905" s="95"/>
      <c r="B905" s="95"/>
      <c r="C905" s="4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spans="1:26" ht="12.75" customHeight="1" x14ac:dyDescent="0.2">
      <c r="A906" s="95"/>
      <c r="B906" s="95"/>
      <c r="C906" s="4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spans="1:26" ht="12.75" customHeight="1" x14ac:dyDescent="0.2">
      <c r="A907" s="95"/>
      <c r="B907" s="95"/>
      <c r="C907" s="4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spans="1:26" ht="12.75" customHeight="1" x14ac:dyDescent="0.2">
      <c r="A908" s="95"/>
      <c r="B908" s="95"/>
      <c r="C908" s="4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spans="1:26" ht="12.75" customHeight="1" x14ac:dyDescent="0.2">
      <c r="A909" s="95"/>
      <c r="B909" s="95"/>
      <c r="C909" s="4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spans="1:26" ht="12.75" customHeight="1" x14ac:dyDescent="0.2">
      <c r="A910" s="95"/>
      <c r="B910" s="95"/>
      <c r="C910" s="4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spans="1:26" ht="12.75" customHeight="1" x14ac:dyDescent="0.2">
      <c r="A911" s="95"/>
      <c r="B911" s="95"/>
      <c r="C911" s="4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spans="1:26" ht="12.75" customHeight="1" x14ac:dyDescent="0.2">
      <c r="A912" s="95"/>
      <c r="B912" s="95"/>
      <c r="C912" s="4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spans="1:26" ht="12.75" customHeight="1" x14ac:dyDescent="0.2">
      <c r="A913" s="95"/>
      <c r="B913" s="95"/>
      <c r="C913" s="4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spans="1:26" ht="12.75" customHeight="1" x14ac:dyDescent="0.2">
      <c r="A914" s="95"/>
      <c r="B914" s="95"/>
      <c r="C914" s="4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spans="1:26" ht="12.75" customHeight="1" x14ac:dyDescent="0.2">
      <c r="A915" s="95"/>
      <c r="B915" s="95"/>
      <c r="C915" s="4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spans="1:26" ht="12.75" customHeight="1" x14ac:dyDescent="0.2">
      <c r="A916" s="95"/>
      <c r="B916" s="95"/>
      <c r="C916" s="4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spans="1:26" ht="12.75" customHeight="1" x14ac:dyDescent="0.2">
      <c r="A917" s="95"/>
      <c r="B917" s="95"/>
      <c r="C917" s="4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spans="1:26" ht="12.75" customHeight="1" x14ac:dyDescent="0.2">
      <c r="A918" s="95"/>
      <c r="B918" s="95"/>
      <c r="C918" s="4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spans="1:26" ht="12.75" customHeight="1" x14ac:dyDescent="0.2">
      <c r="A919" s="95"/>
      <c r="B919" s="95"/>
      <c r="C919" s="4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spans="1:26" ht="12.75" customHeight="1" x14ac:dyDescent="0.2">
      <c r="A920" s="95"/>
      <c r="B920" s="95"/>
      <c r="C920" s="4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spans="1:26" ht="12.75" customHeight="1" x14ac:dyDescent="0.2">
      <c r="A921" s="95"/>
      <c r="B921" s="95"/>
      <c r="C921" s="4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spans="1:26" ht="12.75" customHeight="1" x14ac:dyDescent="0.2">
      <c r="A922" s="95"/>
      <c r="B922" s="95"/>
      <c r="C922" s="4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spans="1:26" ht="12.75" customHeight="1" x14ac:dyDescent="0.2">
      <c r="A923" s="95"/>
      <c r="B923" s="95"/>
      <c r="C923" s="4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spans="1:26" ht="12.75" customHeight="1" x14ac:dyDescent="0.2">
      <c r="A924" s="95"/>
      <c r="B924" s="95"/>
      <c r="C924" s="4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spans="1:26" ht="12.75" customHeight="1" x14ac:dyDescent="0.2">
      <c r="A925" s="95"/>
      <c r="B925" s="95"/>
      <c r="C925" s="4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spans="1:26" ht="12.75" customHeight="1" x14ac:dyDescent="0.2">
      <c r="A926" s="95"/>
      <c r="B926" s="95"/>
      <c r="C926" s="4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spans="1:26" ht="12.75" customHeight="1" x14ac:dyDescent="0.2">
      <c r="A927" s="95"/>
      <c r="B927" s="95"/>
      <c r="C927" s="4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spans="1:26" ht="12.75" customHeight="1" x14ac:dyDescent="0.2">
      <c r="A928" s="95"/>
      <c r="B928" s="95"/>
      <c r="C928" s="4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spans="1:26" ht="12.75" customHeight="1" x14ac:dyDescent="0.2">
      <c r="A929" s="95"/>
      <c r="B929" s="95"/>
      <c r="C929" s="4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spans="1:26" ht="12.75" customHeight="1" x14ac:dyDescent="0.2">
      <c r="A930" s="95"/>
      <c r="B930" s="95"/>
      <c r="C930" s="4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spans="1:26" ht="12.75" customHeight="1" x14ac:dyDescent="0.2">
      <c r="A931" s="95"/>
      <c r="B931" s="95"/>
      <c r="C931" s="4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spans="1:26" ht="12.75" customHeight="1" x14ac:dyDescent="0.2">
      <c r="A932" s="95"/>
      <c r="B932" s="95"/>
      <c r="C932" s="4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spans="1:26" ht="12.75" customHeight="1" x14ac:dyDescent="0.2">
      <c r="A933" s="95"/>
      <c r="B933" s="95"/>
      <c r="C933" s="4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spans="1:26" ht="12.75" customHeight="1" x14ac:dyDescent="0.2">
      <c r="A934" s="95"/>
      <c r="B934" s="95"/>
      <c r="C934" s="4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spans="1:26" ht="12.75" customHeight="1" x14ac:dyDescent="0.2">
      <c r="A935" s="95"/>
      <c r="B935" s="95"/>
      <c r="C935" s="4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spans="1:26" ht="12.75" customHeight="1" x14ac:dyDescent="0.2">
      <c r="A936" s="95"/>
      <c r="B936" s="95"/>
      <c r="C936" s="4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spans="1:26" ht="12.75" customHeight="1" x14ac:dyDescent="0.2">
      <c r="A937" s="95"/>
      <c r="B937" s="95"/>
      <c r="C937" s="4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spans="1:26" ht="12.75" customHeight="1" x14ac:dyDescent="0.2">
      <c r="A938" s="95"/>
      <c r="B938" s="95"/>
      <c r="C938" s="4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spans="1:26" ht="12.75" customHeight="1" x14ac:dyDescent="0.2">
      <c r="A939" s="95"/>
      <c r="B939" s="95"/>
      <c r="C939" s="4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spans="1:26" ht="12.75" customHeight="1" x14ac:dyDescent="0.2">
      <c r="A940" s="95"/>
      <c r="B940" s="95"/>
      <c r="C940" s="4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spans="1:26" ht="12.75" customHeight="1" x14ac:dyDescent="0.2">
      <c r="A941" s="95"/>
      <c r="B941" s="95"/>
      <c r="C941" s="4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spans="1:26" ht="12.75" customHeight="1" x14ac:dyDescent="0.2">
      <c r="A942" s="95"/>
      <c r="B942" s="95"/>
      <c r="C942" s="4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spans="1:26" ht="12.75" customHeight="1" x14ac:dyDescent="0.2">
      <c r="A943" s="95"/>
      <c r="B943" s="95"/>
      <c r="C943" s="4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spans="1:26" ht="12.75" customHeight="1" x14ac:dyDescent="0.2">
      <c r="A944" s="95"/>
      <c r="B944" s="95"/>
      <c r="C944" s="4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spans="1:26" ht="12.75" customHeight="1" x14ac:dyDescent="0.2">
      <c r="A945" s="95"/>
      <c r="B945" s="95"/>
      <c r="C945" s="4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spans="1:26" ht="12.75" customHeight="1" x14ac:dyDescent="0.2">
      <c r="A946" s="95"/>
      <c r="B946" s="95"/>
      <c r="C946" s="4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spans="1:26" ht="12.75" customHeight="1" x14ac:dyDescent="0.2">
      <c r="A947" s="95"/>
      <c r="B947" s="95"/>
      <c r="C947" s="4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spans="1:26" ht="12.75" customHeight="1" x14ac:dyDescent="0.2">
      <c r="A948" s="95"/>
      <c r="B948" s="95"/>
      <c r="C948" s="4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spans="1:26" ht="12.75" customHeight="1" x14ac:dyDescent="0.2">
      <c r="A949" s="95"/>
      <c r="B949" s="95"/>
      <c r="C949" s="4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spans="1:26" ht="12.75" customHeight="1" x14ac:dyDescent="0.2">
      <c r="A950" s="95"/>
      <c r="B950" s="95"/>
      <c r="C950" s="4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spans="1:26" ht="12.75" customHeight="1" x14ac:dyDescent="0.2">
      <c r="A951" s="95"/>
      <c r="B951" s="95"/>
      <c r="C951" s="4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spans="1:26" ht="12.75" customHeight="1" x14ac:dyDescent="0.2">
      <c r="A952" s="95"/>
      <c r="B952" s="95"/>
      <c r="C952" s="4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spans="1:26" ht="12.75" customHeight="1" x14ac:dyDescent="0.2">
      <c r="A953" s="95"/>
      <c r="B953" s="95"/>
      <c r="C953" s="4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spans="1:26" ht="12.75" customHeight="1" x14ac:dyDescent="0.2">
      <c r="A954" s="95"/>
      <c r="B954" s="95"/>
      <c r="C954" s="4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spans="1:26" ht="12.75" customHeight="1" x14ac:dyDescent="0.2">
      <c r="A955" s="95"/>
      <c r="B955" s="95"/>
      <c r="C955" s="4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spans="1:26" ht="12.75" customHeight="1" x14ac:dyDescent="0.2">
      <c r="A956" s="95"/>
      <c r="B956" s="95"/>
      <c r="C956" s="4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spans="1:26" ht="12.75" customHeight="1" x14ac:dyDescent="0.2">
      <c r="A957" s="95"/>
      <c r="B957" s="95"/>
      <c r="C957" s="4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spans="1:26" ht="12.75" customHeight="1" x14ac:dyDescent="0.2">
      <c r="A958" s="95"/>
      <c r="B958" s="95"/>
      <c r="C958" s="4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spans="1:26" ht="12.75" customHeight="1" x14ac:dyDescent="0.2">
      <c r="A959" s="95"/>
      <c r="B959" s="95"/>
      <c r="C959" s="4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spans="1:26" ht="12.75" customHeight="1" x14ac:dyDescent="0.2">
      <c r="A960" s="95"/>
      <c r="B960" s="95"/>
      <c r="C960" s="4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spans="1:26" ht="12.75" customHeight="1" x14ac:dyDescent="0.2">
      <c r="A961" s="95"/>
      <c r="B961" s="95"/>
      <c r="C961" s="4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spans="1:26" ht="12.75" customHeight="1" x14ac:dyDescent="0.2">
      <c r="A962" s="95"/>
      <c r="B962" s="95"/>
      <c r="C962" s="4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spans="1:26" ht="12.75" customHeight="1" x14ac:dyDescent="0.2">
      <c r="A963" s="95"/>
      <c r="B963" s="95"/>
      <c r="C963" s="4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spans="1:26" ht="12.75" customHeight="1" x14ac:dyDescent="0.2">
      <c r="A964" s="95"/>
      <c r="B964" s="95"/>
      <c r="C964" s="4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spans="1:26" ht="12.75" customHeight="1" x14ac:dyDescent="0.2">
      <c r="A965" s="95"/>
      <c r="B965" s="95"/>
      <c r="C965" s="4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spans="1:26" ht="12.75" customHeight="1" x14ac:dyDescent="0.2">
      <c r="A966" s="95"/>
      <c r="B966" s="95"/>
      <c r="C966" s="4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spans="1:26" ht="12.75" customHeight="1" x14ac:dyDescent="0.2">
      <c r="A967" s="95"/>
      <c r="B967" s="95"/>
      <c r="C967" s="4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spans="1:26" ht="12.75" customHeight="1" x14ac:dyDescent="0.2">
      <c r="A968" s="95"/>
      <c r="B968" s="95"/>
      <c r="C968" s="4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spans="1:26" ht="12.75" customHeight="1" x14ac:dyDescent="0.2">
      <c r="A969" s="95"/>
      <c r="B969" s="95"/>
      <c r="C969" s="4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spans="1:26" ht="12.75" customHeight="1" x14ac:dyDescent="0.2">
      <c r="A970" s="95"/>
      <c r="B970" s="95"/>
      <c r="C970" s="4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spans="1:26" ht="12.75" customHeight="1" x14ac:dyDescent="0.2">
      <c r="A971" s="95"/>
      <c r="B971" s="95"/>
      <c r="C971" s="4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spans="1:26" ht="12.75" customHeight="1" x14ac:dyDescent="0.2">
      <c r="A972" s="95"/>
      <c r="B972" s="95"/>
      <c r="C972" s="4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spans="1:26" ht="12.75" customHeight="1" x14ac:dyDescent="0.2">
      <c r="A973" s="95"/>
      <c r="B973" s="95"/>
      <c r="C973" s="4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spans="1:26" ht="12.75" customHeight="1" x14ac:dyDescent="0.2">
      <c r="A974" s="95"/>
      <c r="B974" s="95"/>
      <c r="C974" s="4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spans="1:26" ht="12.75" customHeight="1" x14ac:dyDescent="0.2">
      <c r="A975" s="95"/>
      <c r="B975" s="95"/>
      <c r="C975" s="4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spans="1:26" ht="12.75" customHeight="1" x14ac:dyDescent="0.2">
      <c r="A976" s="95"/>
      <c r="B976" s="95"/>
      <c r="C976" s="4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spans="1:26" ht="12.75" customHeight="1" x14ac:dyDescent="0.2">
      <c r="A977" s="95"/>
      <c r="B977" s="95"/>
      <c r="C977" s="4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spans="1:26" ht="12.75" customHeight="1" x14ac:dyDescent="0.2">
      <c r="A978" s="95"/>
      <c r="B978" s="95"/>
      <c r="C978" s="4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spans="1:26" ht="12.75" customHeight="1" x14ac:dyDescent="0.2">
      <c r="A979" s="95"/>
      <c r="B979" s="95"/>
      <c r="C979" s="4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spans="1:26" ht="12.75" customHeight="1" x14ac:dyDescent="0.2">
      <c r="A980" s="95"/>
      <c r="B980" s="95"/>
      <c r="C980" s="4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spans="1:26" ht="12.75" customHeight="1" x14ac:dyDescent="0.2">
      <c r="A981" s="95"/>
      <c r="B981" s="95"/>
      <c r="C981" s="4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spans="1:26" ht="12.75" customHeight="1" x14ac:dyDescent="0.2">
      <c r="A982" s="95"/>
      <c r="B982" s="95"/>
      <c r="C982" s="4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spans="1:26" ht="12.75" customHeight="1" x14ac:dyDescent="0.2">
      <c r="A983" s="95"/>
      <c r="B983" s="95"/>
      <c r="C983" s="4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spans="1:26" ht="12.75" customHeight="1" x14ac:dyDescent="0.2">
      <c r="A984" s="95"/>
      <c r="B984" s="95"/>
      <c r="C984" s="4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spans="1:26" ht="12.75" customHeight="1" x14ac:dyDescent="0.2">
      <c r="A985" s="95"/>
      <c r="B985" s="95"/>
      <c r="C985" s="4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spans="1:26" ht="12.75" customHeight="1" x14ac:dyDescent="0.2">
      <c r="A986" s="95"/>
      <c r="B986" s="95"/>
      <c r="C986" s="4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spans="1:26" ht="12.75" customHeight="1" x14ac:dyDescent="0.2">
      <c r="A987" s="95"/>
      <c r="B987" s="95"/>
      <c r="C987" s="4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spans="1:26" ht="12.75" customHeight="1" x14ac:dyDescent="0.2">
      <c r="A988" s="95"/>
      <c r="B988" s="95"/>
      <c r="C988" s="4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spans="1:26" ht="12.75" customHeight="1" x14ac:dyDescent="0.2">
      <c r="A989" s="95"/>
      <c r="B989" s="95"/>
      <c r="C989" s="4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spans="1:26" ht="12.75" customHeight="1" x14ac:dyDescent="0.2">
      <c r="A990" s="95"/>
      <c r="B990" s="95"/>
      <c r="C990" s="4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spans="1:26" ht="12.75" customHeight="1" x14ac:dyDescent="0.2">
      <c r="A991" s="95"/>
      <c r="B991" s="95"/>
      <c r="C991" s="4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spans="1:26" ht="12.75" customHeight="1" x14ac:dyDescent="0.2">
      <c r="A992" s="95"/>
      <c r="B992" s="95"/>
      <c r="C992" s="4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spans="1:26" ht="12.75" customHeight="1" x14ac:dyDescent="0.2">
      <c r="A993" s="95"/>
      <c r="B993" s="95"/>
      <c r="C993" s="4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spans="1:26" ht="12.75" customHeight="1" x14ac:dyDescent="0.2">
      <c r="A994" s="95"/>
      <c r="B994" s="95"/>
      <c r="C994" s="4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spans="1:26" ht="12.75" customHeight="1" x14ac:dyDescent="0.2">
      <c r="A995" s="95"/>
      <c r="B995" s="95"/>
      <c r="C995" s="4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spans="1:26" ht="12.75" customHeight="1" x14ac:dyDescent="0.2">
      <c r="A996" s="95"/>
      <c r="B996" s="95"/>
      <c r="C996" s="4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spans="1:26" ht="12.75" customHeight="1" x14ac:dyDescent="0.2">
      <c r="A997" s="95"/>
      <c r="B997" s="95"/>
      <c r="C997" s="4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spans="1:26" ht="12.75" customHeight="1" x14ac:dyDescent="0.2">
      <c r="A998" s="95"/>
      <c r="B998" s="95"/>
      <c r="C998" s="4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spans="1:26" ht="12.75" customHeight="1" x14ac:dyDescent="0.2">
      <c r="A999" s="95"/>
      <c r="B999" s="95"/>
      <c r="C999" s="4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spans="1:26" ht="12.75" customHeight="1" x14ac:dyDescent="0.2">
      <c r="A1000" s="95"/>
      <c r="B1000" s="95"/>
      <c r="C1000" s="4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mergeCells count="24">
    <mergeCell ref="B5:C5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31:C231"/>
    <mergeCell ref="B232:C232"/>
    <mergeCell ref="C233:D233"/>
    <mergeCell ref="B224:C224"/>
    <mergeCell ref="B225:C225"/>
    <mergeCell ref="B226:C226"/>
    <mergeCell ref="B227:C227"/>
    <mergeCell ref="B228:C228"/>
    <mergeCell ref="B229:C229"/>
    <mergeCell ref="B230:C230"/>
  </mergeCells>
  <conditionalFormatting sqref="B9:Q209">
    <cfRule type="expression" dxfId="92" priority="1">
      <formula>$C9="Total"</formula>
    </cfRule>
  </conditionalFormatting>
  <pageMargins left="0.7" right="0.7" top="0.75" bottom="0.75" header="0" footer="0"/>
  <pageSetup paperSize="8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FY23 Timesheet - Privacy CRC-P </vt:lpstr>
      <vt:lpstr>FY24 Timesheet - LA</vt:lpstr>
      <vt:lpstr>FY24 Timesheet - GenAI</vt:lpstr>
      <vt:lpstr>FY23 Timesheet - LA</vt:lpstr>
      <vt:lpstr>FY23 Timesheet - GenAI</vt:lpstr>
      <vt:lpstr>FY22 Timesheets--&gt;</vt:lpstr>
      <vt:lpstr>FY22 Timesheet - Privacy CRC-P </vt:lpstr>
      <vt:lpstr>FY22 Timesheet - LA</vt:lpstr>
      <vt:lpstr>Employees &amp; Tenure</vt:lpstr>
      <vt:lpstr>Sheet1</vt:lpstr>
      <vt:lpstr>FY18 Timesheet</vt:lpstr>
      <vt:lpstr>FY17 Timesheet (Completed)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Suzy Watson</cp:lastModifiedBy>
  <dcterms:created xsi:type="dcterms:W3CDTF">2024-07-11T01:17:55Z</dcterms:created>
  <dcterms:modified xsi:type="dcterms:W3CDTF">2024-11-15T02:39:05Z</dcterms:modified>
</cp:coreProperties>
</file>